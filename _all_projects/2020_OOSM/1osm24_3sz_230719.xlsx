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4915" windowHeight="10560" activeTab="3"/>
  </bookViews>
  <sheets>
    <sheet name="Formats &amp; modes" sheetId="1" r:id="rId1"/>
    <sheet name="1 byte inst" sheetId="3" r:id="rId2"/>
    <sheet name="2 byte inst" sheetId="2" r:id="rId3"/>
    <sheet name="3 operand inst" sheetId="4" r:id="rId4"/>
  </sheets>
  <definedNames>
    <definedName name="_xlnm.Print_Area" localSheetId="1">'1 byte inst'!$B$1:$H$44</definedName>
    <definedName name="_xlnm.Print_Area" localSheetId="2">'2 byte inst'!$B$1:$H$46</definedName>
    <definedName name="_xlnm.Print_Area" localSheetId="3">'3 operand inst'!$B$1:$H$36</definedName>
    <definedName name="_xlnm.Print_Area" localSheetId="0">'Formats &amp; modes'!$B$1:$H$12</definedName>
  </definedNames>
  <calcPr calcId="145621"/>
</workbook>
</file>

<file path=xl/calcChain.xml><?xml version="1.0" encoding="utf-8"?>
<calcChain xmlns="http://schemas.openxmlformats.org/spreadsheetml/2006/main">
  <c r="D45" i="2" l="1"/>
  <c r="D35" i="4" l="1"/>
  <c r="J43" i="3" l="1"/>
  <c r="I43" i="3" l="1"/>
  <c r="D43" i="3" l="1"/>
  <c r="B35" i="4"/>
  <c r="B43" i="3"/>
  <c r="B45" i="2"/>
</calcChain>
</file>

<file path=xl/sharedStrings.xml><?xml version="1.0" encoding="utf-8"?>
<sst xmlns="http://schemas.openxmlformats.org/spreadsheetml/2006/main" count="559" uniqueCount="385">
  <si>
    <t>Stack/Accumulator ISA with five addressing modes, 8-bit bytes; little endian</t>
  </si>
  <si>
    <t>Most instructions use two bytes, this sheet has the instruction formats and addressing modes</t>
  </si>
  <si>
    <t>Format (little endian)</t>
  </si>
  <si>
    <t># bytes</t>
  </si>
  <si>
    <t># codes</t>
  </si>
  <si>
    <t>description</t>
  </si>
  <si>
    <t>detailed descripton</t>
  </si>
  <si>
    <t>comments</t>
  </si>
  <si>
    <t>xxx00000 and xxx11111</t>
  </si>
  <si>
    <t>one byte instructions, 000000000 and 111111111 are illegal op-codes</t>
  </si>
  <si>
    <t>nnnnnnnn nxx01101</t>
  </si>
  <si>
    <t>Two byte instructions which take a 9-bit immediate value</t>
  </si>
  <si>
    <t>CALLR, BR, BRZ, BRNZ</t>
  </si>
  <si>
    <t>smmddnnn sPR0xxxx</t>
  </si>
  <si>
    <t>generic two byte instruction</t>
  </si>
  <si>
    <t>111nnnnn 1PV0xxxx</t>
  </si>
  <si>
    <t>two byte instruction with immediate value "addressing" mode</t>
  </si>
  <si>
    <t>xxxddnnn smmddnnn sPR1xxxx</t>
  </si>
  <si>
    <t>three byte instructions</t>
  </si>
  <si>
    <t>no ssmm on 3rd byte, is used for inst modifiers</t>
  </si>
  <si>
    <t>Three operand instructions and for accessing residue register</t>
  </si>
  <si>
    <t>1111ffff ffssssss</t>
  </si>
  <si>
    <t>Return stack entry for restored frame and stack pointers</t>
  </si>
  <si>
    <t>A return address of 1111xxxx xxxxxxx not allowed</t>
  </si>
  <si>
    <t>RTNF same as RTN and requres double read of return stack</t>
  </si>
  <si>
    <t>n: immediate bit</t>
  </si>
  <si>
    <t>This sheet is the op-code formats and memory addressing modes</t>
  </si>
  <si>
    <t>u: unspecified op-code bit</t>
  </si>
  <si>
    <t>Dedicated registers for PC, TOS, RESidue and interrupt enables and status bits</t>
  </si>
  <si>
    <t>PC considered to be top of RSTK, TOS top of data stack, RES in base or global area, status reg is IO port register</t>
  </si>
  <si>
    <t>x: op-cde bit allocated to this format</t>
  </si>
  <si>
    <t>Three data sizes possible (eg 8, 16 &amp; 32 or 9, 18 &amp; 36 or 8, 16 &amp; 24)</t>
  </si>
  <si>
    <t>Four data sizes difficult to arrange</t>
  </si>
  <si>
    <t>Could possibly have 9X-bit instructions and 8X-bit data on FPGA</t>
  </si>
  <si>
    <t>r: return after execution</t>
  </si>
  <si>
    <t>Registers (stack locations) are atleast the size of the largest supported data or address</t>
  </si>
  <si>
    <t>P: pop/push TOS</t>
  </si>
  <si>
    <t>Byte: addressable unit of 8 to 12 bits; Half: 16-24 bits, Word: 32-36 bits, Long: 48 to 64 bits</t>
  </si>
  <si>
    <t>R: replace operand instead of TOS</t>
  </si>
  <si>
    <t>Little endian, twos complement</t>
  </si>
  <si>
    <t>Ugh: for consistency</t>
  </si>
  <si>
    <t>n: stack pointer offset</t>
  </si>
  <si>
    <t>V: swap operands</t>
  </si>
  <si>
    <t>DD: stack region: relative to TOS, relative to TRS, relative to Frame, Base dedicated registers</t>
  </si>
  <si>
    <t>Base region allocation fixed, Frame and TOS regions share majority of register file</t>
  </si>
  <si>
    <t>NNN: offset from stack region pointer; TRS and Base use two bit NN, Frame uses four bit NNNN</t>
  </si>
  <si>
    <t>SSMM codes</t>
  </si>
  <si>
    <t>SS: 0, 1, 2;     8, 16 &amp; 32-bit data</t>
  </si>
  <si>
    <t>SSMM codes are 3 sizes * 5 modes + immediate</t>
  </si>
  <si>
    <t>MM: 0, 1, 2, 3, 4, I:</t>
  </si>
  <si>
    <t>register</t>
  </si>
  <si>
    <t>register as address + index register</t>
  </si>
  <si>
    <t>replaces auto-increment mode</t>
  </si>
  <si>
    <t>register as address - index register</t>
  </si>
  <si>
    <t>replaces auto-decrement mode</t>
  </si>
  <si>
    <t>register as address  + variable length offset</t>
  </si>
  <si>
    <t>immediate using DDNNN field for small values and for variable length byte count</t>
  </si>
  <si>
    <t>James C. Brakefield (2023)</t>
  </si>
  <si>
    <t>Most instructions use two bytes, this sheet has the two byte op-codes</t>
  </si>
  <si>
    <t>Op</t>
  </si>
  <si>
    <t>encoding</t>
  </si>
  <si>
    <t># ops</t>
  </si>
  <si>
    <t>std. stack operation</t>
  </si>
  <si>
    <t>two byte instructions only</t>
  </si>
  <si>
    <t>LD</t>
  </si>
  <si>
    <t>Load zero extended from memory</t>
  </si>
  <si>
    <t>Data size in 2nd byte</t>
  </si>
  <si>
    <t>LDS</t>
  </si>
  <si>
    <t>Load sign extended from memory</t>
  </si>
  <si>
    <t>LDF</t>
  </si>
  <si>
    <t>Load floating-point value from memory</t>
  </si>
  <si>
    <t>ST</t>
  </si>
  <si>
    <t>Store truncated to memory</t>
  </si>
  <si>
    <t>ADD</t>
  </si>
  <si>
    <t>Three operand instructions can access residue register</t>
  </si>
  <si>
    <t>SUB</t>
  </si>
  <si>
    <t>AND</t>
  </si>
  <si>
    <t>Bit by bit Boolean AND</t>
  </si>
  <si>
    <t>ANDN</t>
  </si>
  <si>
    <t>Bit by bit Boolean AND between operand and 2nd complemented operand</t>
  </si>
  <si>
    <t>a AND NOT b</t>
  </si>
  <si>
    <t>OR</t>
  </si>
  <si>
    <t>Bit by bit Boolean OR</t>
  </si>
  <si>
    <t>XOR</t>
  </si>
  <si>
    <t>Bit by bit Boolean exclusive or</t>
  </si>
  <si>
    <t>MUL</t>
  </si>
  <si>
    <t>Upper half of product goes to residue register</t>
  </si>
  <si>
    <t>DIV</t>
  </si>
  <si>
    <t>Remainder goes to residue register</t>
  </si>
  <si>
    <t>LSL</t>
  </si>
  <si>
    <t>Shifted out bits go to residue register</t>
  </si>
  <si>
    <t>ROTL</t>
  </si>
  <si>
    <t>Rotate left</t>
  </si>
  <si>
    <t>LSR</t>
  </si>
  <si>
    <t>ASR</t>
  </si>
  <si>
    <t>EXTRCT</t>
  </si>
  <si>
    <t>Extract bit field from source</t>
  </si>
  <si>
    <t>Uses 12-bit immediate or LSBs of operand</t>
  </si>
  <si>
    <t>Destination gets a word of status bits</t>
  </si>
  <si>
    <t>CMP</t>
  </si>
  <si>
    <t>CALLR</t>
  </si>
  <si>
    <t>Immediate is relative location of subroutine</t>
  </si>
  <si>
    <t>9 bit displacement on 16-bit two byte instructions</t>
  </si>
  <si>
    <t>CALLRF</t>
  </si>
  <si>
    <t>three byte instruction</t>
  </si>
  <si>
    <t>BR</t>
  </si>
  <si>
    <t>Relative branch</t>
  </si>
  <si>
    <t>BRZ</t>
  </si>
  <si>
    <t>Relative branch if TOS zero</t>
  </si>
  <si>
    <t>BRNZ</t>
  </si>
  <si>
    <t>Relative branch if TOS not zero</t>
  </si>
  <si>
    <t>IMM</t>
  </si>
  <si>
    <t>Push immediate value</t>
  </si>
  <si>
    <t>Adjust framer/stack pointer</t>
  </si>
  <si>
    <t>Use RTN</t>
  </si>
  <si>
    <t>Push/restore frame pointer</t>
  </si>
  <si>
    <t>CALLF</t>
  </si>
  <si>
    <t>2nd byte is frame size and stack size</t>
  </si>
  <si>
    <t>MAX</t>
  </si>
  <si>
    <t>see three operand inst</t>
  </si>
  <si>
    <t>MIN</t>
  </si>
  <si>
    <t>IN</t>
  </si>
  <si>
    <t>Input from IO register</t>
  </si>
  <si>
    <t>possible spare op-code</t>
  </si>
  <si>
    <t>Memory mapped IO would free up an op-code</t>
  </si>
  <si>
    <t>OUT</t>
  </si>
  <si>
    <t>Output to IO register</t>
  </si>
  <si>
    <t>Unary ops</t>
  </si>
  <si>
    <t>Operand field used for secondary op-code</t>
  </si>
  <si>
    <t>Funct(TOS) -&gt; TOS</t>
  </si>
  <si>
    <t>trancendentals, sqrt, pop cnt, ldzct, …</t>
  </si>
  <si>
    <t>also float &lt;-&gt; integer conversions &amp; rounding using the residue register</t>
  </si>
  <si>
    <t>Byte codes</t>
  </si>
  <si>
    <t>stack and loop single byte op-codes</t>
  </si>
  <si>
    <t>Ternary ops</t>
  </si>
  <si>
    <t>This sheet is the set of two byte op-codes</t>
  </si>
  <si>
    <t>Could possibly have 9X-bit instructions and 8X-bit data</t>
  </si>
  <si>
    <t>Single instruction per clock execution</t>
  </si>
  <si>
    <t>Load Posit value from memory</t>
  </si>
  <si>
    <t>Stack/Accumulator ISA with ~five addressing modes, Stacks/register file has data type (4-bits)</t>
  </si>
  <si>
    <t>Carry/Overflow goes to residue register</t>
  </si>
  <si>
    <t>Multiply</t>
  </si>
  <si>
    <t>Divide</t>
  </si>
  <si>
    <t>Shift left/Adjust exponent</t>
  </si>
  <si>
    <t>SHL</t>
  </si>
  <si>
    <t>SHR</t>
  </si>
  <si>
    <t>Shift right</t>
  </si>
  <si>
    <t>Compare</t>
  </si>
  <si>
    <t>Sets register data type to unsigned</t>
  </si>
  <si>
    <t>Sets register data type to signed</t>
  </si>
  <si>
    <t>Sets register data type to Float</t>
  </si>
  <si>
    <t>Sets register data type to Posit</t>
  </si>
  <si>
    <t>Conversion to memory format depends on register data type</t>
  </si>
  <si>
    <t>12 op-codes: three sizes * four types</t>
  </si>
  <si>
    <t>load imm, Forth ops, loop ops</t>
  </si>
  <si>
    <t>3*4 Load ops, 3 store ops, ~13 ALU ops, 8 loop ops, NOP, Traps</t>
  </si>
  <si>
    <t>Add</t>
  </si>
  <si>
    <t>Subtract</t>
  </si>
  <si>
    <t>Three op-cdoes, one for each data size</t>
  </si>
  <si>
    <t>one byte instructions only</t>
  </si>
  <si>
    <t>This sheet is the set of one byte op-codes</t>
  </si>
  <si>
    <t>Set next instruction address as loop top</t>
  </si>
  <si>
    <t>LTOP0</t>
  </si>
  <si>
    <t>Push only next adr to return stack</t>
  </si>
  <si>
    <t>LOOPIF</t>
  </si>
  <si>
    <t>LOOPCTD</t>
  </si>
  <si>
    <t>LOOPCTU</t>
  </si>
  <si>
    <t>LOOPCTUL</t>
  </si>
  <si>
    <t>Count up to limit</t>
  </si>
  <si>
    <t>Count down to zero loop</t>
  </si>
  <si>
    <t>Count up to zero loop</t>
  </si>
  <si>
    <t>NOP</t>
  </si>
  <si>
    <t>TRAP</t>
  </si>
  <si>
    <t>BRKPT</t>
  </si>
  <si>
    <t>Breakpoint</t>
  </si>
  <si>
    <t>Interrupt</t>
  </si>
  <si>
    <t>@</t>
  </si>
  <si>
    <t>&lt;&lt;</t>
  </si>
  <si>
    <t>&lt;0</t>
  </si>
  <si>
    <t>&gt;&gt;</t>
  </si>
  <si>
    <t>"+"</t>
  </si>
  <si>
    <t>"-"</t>
  </si>
  <si>
    <t>"*"</t>
  </si>
  <si>
    <t>"/"</t>
  </si>
  <si>
    <t>|</t>
  </si>
  <si>
    <t>^</t>
  </si>
  <si>
    <t>&amp;</t>
  </si>
  <si>
    <t>00000000</t>
  </si>
  <si>
    <t>00000001</t>
  </si>
  <si>
    <t>00000011</t>
  </si>
  <si>
    <t>00000010</t>
  </si>
  <si>
    <t>32 max</t>
  </si>
  <si>
    <t>8 max</t>
  </si>
  <si>
    <t>Loop if TOS "true", eg &lt;&gt;0</t>
  </si>
  <si>
    <t>Push count to index register, limit and next adr to return stack</t>
  </si>
  <si>
    <t>Most instructions use two bytes, this sheet has the three and four byte op-codes</t>
  </si>
  <si>
    <t>Three input add</t>
  </si>
  <si>
    <t>if the 2nd ddnnn field is same as first, third operand is omitted</t>
  </si>
  <si>
    <t>Two input dividend</t>
  </si>
  <si>
    <t>MAC</t>
  </si>
  <si>
    <t>Multiply/accumulate</t>
  </si>
  <si>
    <t>MEDIAN</t>
  </si>
  <si>
    <t>Three element median</t>
  </si>
  <si>
    <t>Logical shift left using residue</t>
  </si>
  <si>
    <t>Logical shift right using residue</t>
  </si>
  <si>
    <t>Arithmetic shift right using residue</t>
  </si>
  <si>
    <t>SELECT</t>
  </si>
  <si>
    <t>Boolean select</t>
  </si>
  <si>
    <t>Zero/non-zero 1st operand selects either 2nd or 3rd operand</t>
  </si>
  <si>
    <t>MERGE</t>
  </si>
  <si>
    <t>Boolean mask select</t>
  </si>
  <si>
    <t>1st operand bit by bit selects 2nd or 3rd operand bits</t>
  </si>
  <si>
    <t>MOV2</t>
  </si>
  <si>
    <t>Two operands to or from data stack</t>
  </si>
  <si>
    <t>Can be used for swap or two element shift</t>
  </si>
  <si>
    <t>INSERT</t>
  </si>
  <si>
    <t xml:space="preserve">Insert truncated source into destination </t>
  </si>
  <si>
    <t>Three element max</t>
  </si>
  <si>
    <t>Three element min</t>
  </si>
  <si>
    <t>Relative call and set new frame</t>
  </si>
  <si>
    <t>3rd byte specifies # results and # of parameters</t>
  </si>
  <si>
    <t>FP &amp; SP pushed to return stack as single non-program "address"</t>
  </si>
  <si>
    <t>Call and set new frame</t>
  </si>
  <si>
    <t>specifies # results and # of parameters</t>
  </si>
  <si>
    <t>LEAX</t>
  </si>
  <si>
    <t>Load effective address</t>
  </si>
  <si>
    <t>BBR</t>
  </si>
  <si>
    <t>Bit branch relative</t>
  </si>
  <si>
    <t>complementation of two operands</t>
  </si>
  <si>
    <t>Three input AND</t>
  </si>
  <si>
    <t>three additional op-code bits used for Boolean complement</t>
  </si>
  <si>
    <t>Three input OR</t>
  </si>
  <si>
    <t>MUX</t>
  </si>
  <si>
    <t>complementation of any of the three operands</t>
  </si>
  <si>
    <t>Two input mux</t>
  </si>
  <si>
    <t>two additional op-code bits used for Boolean complement</t>
  </si>
  <si>
    <t>MAJ</t>
  </si>
  <si>
    <t>Three input majority</t>
  </si>
  <si>
    <t>24-bit instructions</t>
  </si>
  <si>
    <t>32-bit instructions</t>
  </si>
  <si>
    <t>Register type codes</t>
  </si>
  <si>
    <t>0000</t>
  </si>
  <si>
    <t>0001</t>
  </si>
  <si>
    <t>0010</t>
  </si>
  <si>
    <t>0011</t>
  </si>
  <si>
    <t>01xx</t>
  </si>
  <si>
    <t>1xxx</t>
  </si>
  <si>
    <t>Unsigned</t>
  </si>
  <si>
    <t>Signed</t>
  </si>
  <si>
    <t>Float with additional exponent bit and inexact bit</t>
  </si>
  <si>
    <t>Posit with full set of exponent bits and additional mantissa bits</t>
  </si>
  <si>
    <t>Uninitialized</t>
  </si>
  <si>
    <t>Address?</t>
  </si>
  <si>
    <t>including 0NNNN NNNNNNNN for 12-bit immediate using an additional byte, 10nnn for 0..7, 110nn for 1..4 byte length &amp; 111nn for -1..-4</t>
  </si>
  <si>
    <t>DROP</t>
  </si>
  <si>
    <t>DUP</t>
  </si>
  <si>
    <t>SWAP</t>
  </si>
  <si>
    <t>OVER</t>
  </si>
  <si>
    <t>additional op-code bits used for sign control</t>
  </si>
  <si>
    <t>00000110</t>
  </si>
  <si>
    <t>00000111</t>
  </si>
  <si>
    <t>00000101</t>
  </si>
  <si>
    <t>00000100</t>
  </si>
  <si>
    <t>If four data sizes, encoding is full</t>
  </si>
  <si>
    <t>LDP</t>
  </si>
  <si>
    <t>Shift right/Adjust exponent</t>
  </si>
  <si>
    <t>LTOPP</t>
  </si>
  <si>
    <t>LTOPN</t>
  </si>
  <si>
    <t>LTOPL</t>
  </si>
  <si>
    <t>Pop TOS</t>
  </si>
  <si>
    <t>Duplicate &amp; push TOS</t>
  </si>
  <si>
    <t>Swap TOS with NOS</t>
  </si>
  <si>
    <t>Copy NOS and push</t>
  </si>
  <si>
    <t>Current instruction failed to execute</t>
  </si>
  <si>
    <t>Distinct Op-code, for debugging</t>
  </si>
  <si>
    <t>Pop TOS, POP return stack if TOS was 0</t>
  </si>
  <si>
    <t>Exit loop if current count = limit</t>
  </si>
  <si>
    <t>RTN</t>
  </si>
  <si>
    <t>Retrun from subroutine</t>
  </si>
  <si>
    <t>Pop top of return stack to PC</t>
  </si>
  <si>
    <t>Exit loop if current count = 0, base adr is adr of first element</t>
  </si>
  <si>
    <t>Exit loop if current count = 0. base adr is adr of last element</t>
  </si>
  <si>
    <t>Decrement index register if not = 0</t>
  </si>
  <si>
    <t>Increment index register if not = 0</t>
  </si>
  <si>
    <t>Increment index register if not = limit</t>
  </si>
  <si>
    <t>Push count to index register and next adr to return stack, count is one less than the number of elements</t>
  </si>
  <si>
    <t>Push negative count to index register, next adr to return stack, count is one less than the number of elements</t>
  </si>
  <si>
    <t>Illegal inst or unimplemented inst, length of inst saved</t>
  </si>
  <si>
    <t>Forth symbol</t>
  </si>
  <si>
    <t>3SZ</t>
  </si>
  <si>
    <t>4SZ</t>
  </si>
  <si>
    <t>Totals</t>
  </si>
  <si>
    <t>Stack/Accumulator ISA with four addressing modes, Stacks/register file has data type tag (4-bits)</t>
  </si>
  <si>
    <r>
      <t xml:space="preserve">Most instructions use two bytes, this sheet has the </t>
    </r>
    <r>
      <rPr>
        <b/>
        <sz val="11"/>
        <color theme="1"/>
        <rFont val="Calibri"/>
        <family val="2"/>
        <scheme val="minor"/>
      </rPr>
      <t>one byte op-codes</t>
    </r>
  </si>
  <si>
    <t>Push/Pop bit where useful</t>
  </si>
  <si>
    <t>Uses register file as data and return stacks and frame area, with offset indexing into these areas, spill/restore uses special block RAM memory of sufficient width</t>
  </si>
  <si>
    <t>This sheet is the set of three byte op-codes</t>
  </si>
  <si>
    <t>register as address + vairable size offset + index register * data size</t>
  </si>
  <si>
    <t>using one additional byte replaces register indirect</t>
  </si>
  <si>
    <t>Could also be 8/16-bit displacement or 8/24 or 8/32?</t>
  </si>
  <si>
    <t>16-bit instruction?</t>
  </si>
  <si>
    <t>8/9-bit displacement?</t>
  </si>
  <si>
    <t>spare</t>
  </si>
  <si>
    <t>Unary op, variable length immediate?</t>
  </si>
  <si>
    <t>Use CALLx</t>
  </si>
  <si>
    <t>two byte ops</t>
  </si>
  <si>
    <t>R (replace) bit use limited to provide allow adequate set of op-codes</t>
  </si>
  <si>
    <t>R bit unavailable due to code space limitations</t>
  </si>
  <si>
    <t>rigged so 0000000 used for illegal inst</t>
  </si>
  <si>
    <t>00XPXXXX</t>
  </si>
  <si>
    <t>001001XX</t>
  </si>
  <si>
    <t>001011XX</t>
  </si>
  <si>
    <t>001101XX</t>
  </si>
  <si>
    <t>001111XX</t>
  </si>
  <si>
    <t>001P1000</t>
  </si>
  <si>
    <t>001P1001</t>
  </si>
  <si>
    <t>001P1010</t>
  </si>
  <si>
    <t>001P1011</t>
  </si>
  <si>
    <t>001P0000</t>
  </si>
  <si>
    <t>001P0001</t>
  </si>
  <si>
    <t>001P0010</t>
  </si>
  <si>
    <t>001P0011</t>
  </si>
  <si>
    <t>00001000</t>
  </si>
  <si>
    <t>00001001</t>
  </si>
  <si>
    <t>00001010</t>
  </si>
  <si>
    <t>00001011</t>
  </si>
  <si>
    <t>00001100</t>
  </si>
  <si>
    <t>00001101</t>
  </si>
  <si>
    <t>00001110</t>
  </si>
  <si>
    <t>00001111</t>
  </si>
  <si>
    <t>ddnnnxxx ddnnn mms 11sPRxxx</t>
  </si>
  <si>
    <t>ddnnnzzu ddnnn mms 11sPR000</t>
  </si>
  <si>
    <t>ddnnnzzu ddnnn mms 11sP0001</t>
  </si>
  <si>
    <t>ddnnnzzu ddnnn mms 11sP1001</t>
  </si>
  <si>
    <t>ddnnn000 ddnnn mms 11sPR010</t>
  </si>
  <si>
    <t>ddnnn001 ddnnn mms 11sPR010</t>
  </si>
  <si>
    <t>ddnnn010 ddnnn mms 11sPR010</t>
  </si>
  <si>
    <t>ddnnn011 ddnnn mms 11sPR010</t>
  </si>
  <si>
    <t>ddnnn100 ddnnn mms 11sPR010</t>
  </si>
  <si>
    <t>ddnnn101 ddnnn mms 11sPR010</t>
  </si>
  <si>
    <t>ddnnn110 ddnnn mms 11sPR010</t>
  </si>
  <si>
    <t>ddnnn111 ddnnn mms 11sPR010</t>
  </si>
  <si>
    <t>ddnnnzxx ddnnn mms 11sPx011</t>
  </si>
  <si>
    <t>ddnnnxxx ddnnn mms 11sPR100</t>
  </si>
  <si>
    <t>ddnnnzzz ddnnn mms 11sP0110</t>
  </si>
  <si>
    <t>ddnnnzzz ddnnn mms 11sP1110</t>
  </si>
  <si>
    <t>ddnnnxxx ddnnnxxx ddnnn mms 11sPR111</t>
  </si>
  <si>
    <t>nnnnnnnn ddnnn bbb 11bb0101</t>
  </si>
  <si>
    <t>ddnnnzz0 ddnnn mms 11sPR011</t>
  </si>
  <si>
    <t>ddnnnzz1 ddnnn mms 11sPR011</t>
  </si>
  <si>
    <t>ddnnn mms 01sPRxxx &amp; 10sPRxxx</t>
  </si>
  <si>
    <t>nnnnn mms 01sP0100</t>
  </si>
  <si>
    <t>nnnnn mms 10sP0100</t>
  </si>
  <si>
    <t>nnnnn mms 10sP0101</t>
  </si>
  <si>
    <t>nnnnn mms 10sP0110</t>
  </si>
  <si>
    <t>nnnnn mms 10sP0111</t>
  </si>
  <si>
    <t>nnnnn mms 10sP1100</t>
  </si>
  <si>
    <t>nnnnn mms 10sP1101</t>
  </si>
  <si>
    <t>nnnnn mms 10sP1110</t>
  </si>
  <si>
    <t>nnnnn mms 10sP1111</t>
  </si>
  <si>
    <t>nnnnn mms 01sPR000</t>
  </si>
  <si>
    <t>nnnnn mms 01sPR010</t>
  </si>
  <si>
    <t>nnnnn mms 01sPR011</t>
  </si>
  <si>
    <t>nnnnn mms 01sP1100</t>
  </si>
  <si>
    <t>nnnnn mms 01sPR101</t>
  </si>
  <si>
    <t>nnnnn mms 01sPR110</t>
  </si>
  <si>
    <t>nnnnn mms 01sPR111</t>
  </si>
  <si>
    <t>nnnnn mms 01sPR001</t>
  </si>
  <si>
    <t>nnnn nnnn 10n00000</t>
  </si>
  <si>
    <t>nnnn nnnn 10n01000</t>
  </si>
  <si>
    <t>nnnn nnnn 10n10000</t>
  </si>
  <si>
    <t>nnnn nnnn 10n11000</t>
  </si>
  <si>
    <t>nnnnnnnn 10tt00xx</t>
  </si>
  <si>
    <t>11sPRxxx</t>
  </si>
  <si>
    <t>01sPRxxx &amp; 10sPRxxx</t>
  </si>
  <si>
    <t>10sP0001</t>
  </si>
  <si>
    <t>10sP1001</t>
  </si>
  <si>
    <t>10sPx010</t>
  </si>
  <si>
    <t>00xPxxxx</t>
  </si>
  <si>
    <t>0001P0XX</t>
  </si>
  <si>
    <t>0001P100</t>
  </si>
  <si>
    <t>0001P101</t>
  </si>
  <si>
    <t>0001P110</t>
  </si>
  <si>
    <t>0001P111</t>
  </si>
  <si>
    <t>P has different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</si>
</sst>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ourier New"/>
      <family val="3"/>
    </font>
    <font>
      <b/>
      <sz val="11"/>
      <color theme="1"/>
      <name val="Courier"/>
      <family val="3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0" borderId="13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" fillId="0" borderId="23" xfId="0" applyFont="1" applyBorder="1"/>
    <xf numFmtId="0" fontId="0" fillId="0" borderId="24" xfId="0" applyBorder="1"/>
    <xf numFmtId="0" fontId="0" fillId="0" borderId="0" xfId="0" applyBorder="1"/>
    <xf numFmtId="0" fontId="4" fillId="0" borderId="0" xfId="0" applyFont="1" applyBorder="1"/>
    <xf numFmtId="0" fontId="4" fillId="0" borderId="0" xfId="0" applyFont="1"/>
    <xf numFmtId="0" fontId="0" fillId="0" borderId="16" xfId="0" applyBorder="1"/>
    <xf numFmtId="49" fontId="0" fillId="0" borderId="20" xfId="0" applyNumberForma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5" fillId="0" borderId="19" xfId="0" applyFont="1" applyBorder="1"/>
    <xf numFmtId="0" fontId="5" fillId="0" borderId="2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0" xfId="0" applyFont="1"/>
    <xf numFmtId="0" fontId="0" fillId="0" borderId="29" xfId="0" applyBorder="1"/>
    <xf numFmtId="49" fontId="0" fillId="0" borderId="23" xfId="0" applyNumberFormat="1" applyBorder="1"/>
    <xf numFmtId="0" fontId="0" fillId="0" borderId="30" xfId="0" applyBorder="1"/>
    <xf numFmtId="0" fontId="0" fillId="0" borderId="31" xfId="0" applyBorder="1"/>
    <xf numFmtId="0" fontId="6" fillId="0" borderId="3" xfId="0" applyFont="1" applyBorder="1"/>
    <xf numFmtId="0" fontId="7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0" xfId="0" applyFont="1"/>
    <xf numFmtId="49" fontId="8" fillId="0" borderId="20" xfId="0" applyNumberFormat="1" applyFont="1" applyBorder="1"/>
    <xf numFmtId="49" fontId="0" fillId="0" borderId="20" xfId="0" applyNumberFormat="1" applyFont="1" applyBorder="1"/>
    <xf numFmtId="49" fontId="9" fillId="0" borderId="17" xfId="0" applyNumberFormat="1" applyFont="1" applyBorder="1"/>
    <xf numFmtId="0" fontId="1" fillId="0" borderId="25" xfId="0" applyFont="1" applyBorder="1"/>
    <xf numFmtId="0" fontId="7" fillId="0" borderId="0" xfId="0" applyFont="1"/>
    <xf numFmtId="0" fontId="0" fillId="0" borderId="33" xfId="0" applyBorder="1"/>
    <xf numFmtId="0" fontId="0" fillId="0" borderId="11" xfId="0" applyBorder="1" applyAlignment="1">
      <alignment horizontal="left"/>
    </xf>
    <xf numFmtId="0" fontId="0" fillId="0" borderId="0" xfId="0" applyFill="1" applyBorder="1"/>
    <xf numFmtId="49" fontId="3" fillId="0" borderId="0" xfId="0" applyNumberFormat="1" applyFont="1"/>
    <xf numFmtId="0" fontId="3" fillId="0" borderId="0" xfId="0" applyFont="1"/>
    <xf numFmtId="49" fontId="0" fillId="0" borderId="34" xfId="0" applyNumberFormat="1" applyFont="1" applyBorder="1"/>
    <xf numFmtId="0" fontId="0" fillId="0" borderId="35" xfId="0" applyBorder="1"/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/>
    <xf numFmtId="49" fontId="1" fillId="0" borderId="17" xfId="0" applyNumberFormat="1" applyFont="1" applyBorder="1"/>
    <xf numFmtId="49" fontId="5" fillId="0" borderId="20" xfId="0" applyNumberFormat="1" applyFont="1" applyBorder="1"/>
    <xf numFmtId="0" fontId="0" fillId="0" borderId="39" xfId="0" applyBorder="1"/>
    <xf numFmtId="0" fontId="0" fillId="0" borderId="42" xfId="0" applyBorder="1"/>
    <xf numFmtId="0" fontId="0" fillId="0" borderId="43" xfId="0" applyBorder="1"/>
    <xf numFmtId="0" fontId="0" fillId="0" borderId="40" xfId="0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20" xfId="0" applyBorder="1" applyAlignment="1">
      <alignment horizontal="right"/>
    </xf>
    <xf numFmtId="0" fontId="1" fillId="0" borderId="6" xfId="0" applyFont="1" applyBorder="1"/>
    <xf numFmtId="0" fontId="7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4" xfId="0" applyFont="1" applyBorder="1" applyAlignment="1">
      <alignment horizontal="right"/>
    </xf>
    <xf numFmtId="0" fontId="0" fillId="0" borderId="5" xfId="0" applyBorder="1"/>
    <xf numFmtId="0" fontId="0" fillId="0" borderId="8" xfId="0" applyBorder="1"/>
    <xf numFmtId="0" fontId="0" fillId="0" borderId="44" xfId="0" applyBorder="1"/>
    <xf numFmtId="0" fontId="6" fillId="0" borderId="1" xfId="0" applyFont="1" applyBorder="1"/>
    <xf numFmtId="49" fontId="10" fillId="0" borderId="3" xfId="0" applyNumberFormat="1" applyFont="1" applyBorder="1" applyAlignment="1">
      <alignment horizontal="center" vertical="center" wrapText="1"/>
    </xf>
    <xf numFmtId="0" fontId="0" fillId="0" borderId="45" xfId="0" applyBorder="1"/>
    <xf numFmtId="0" fontId="4" fillId="0" borderId="45" xfId="0" applyFont="1" applyBorder="1"/>
    <xf numFmtId="0" fontId="11" fillId="0" borderId="0" xfId="0" applyFont="1"/>
    <xf numFmtId="164" fontId="1" fillId="0" borderId="36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right"/>
    </xf>
    <xf numFmtId="165" fontId="0" fillId="0" borderId="41" xfId="0" applyNumberFormat="1" applyBorder="1"/>
    <xf numFmtId="165" fontId="0" fillId="0" borderId="26" xfId="0" applyNumberFormat="1" applyBorder="1"/>
    <xf numFmtId="165" fontId="0" fillId="0" borderId="35" xfId="0" applyNumberFormat="1" applyBorder="1"/>
    <xf numFmtId="49" fontId="8" fillId="0" borderId="3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3"/>
  <sheetViews>
    <sheetView zoomScaleNormal="100" workbookViewId="0">
      <pane ySplit="3" topLeftCell="A4" activePane="bottomLeft" state="frozenSplit"/>
      <selection activeCell="A2" sqref="A2:XFD2"/>
      <selection pane="bottomLeft" activeCell="G31" sqref="G31"/>
    </sheetView>
  </sheetViews>
  <sheetFormatPr defaultRowHeight="15" x14ac:dyDescent="0.25"/>
  <cols>
    <col min="1" max="1" width="2.5703125" customWidth="1"/>
    <col min="2" max="2" width="40.42578125" customWidth="1"/>
    <col min="3" max="3" width="7.140625" customWidth="1"/>
    <col min="4" max="4" width="7.7109375" customWidth="1"/>
    <col min="5" max="5" width="61.7109375" customWidth="1"/>
    <col min="6" max="6" width="8.140625" customWidth="1"/>
    <col min="7" max="7" width="45.28515625" customWidth="1"/>
    <col min="8" max="8" width="63.42578125" customWidth="1"/>
  </cols>
  <sheetData>
    <row r="1" spans="2:8" x14ac:dyDescent="0.25">
      <c r="B1" s="1" t="s">
        <v>0</v>
      </c>
      <c r="C1" s="1"/>
      <c r="D1" s="1"/>
      <c r="F1" s="1" t="s">
        <v>57</v>
      </c>
      <c r="H1" t="s">
        <v>1</v>
      </c>
    </row>
    <row r="2" spans="2:8" ht="5.25" customHeight="1" thickBot="1" x14ac:dyDescent="0.3"/>
    <row r="3" spans="2:8" s="7" customFormat="1" ht="15.75" thickBot="1" x14ac:dyDescent="0.3">
      <c r="B3" s="2" t="s">
        <v>2</v>
      </c>
      <c r="C3" s="3" t="s">
        <v>3</v>
      </c>
      <c r="D3" s="3" t="s">
        <v>4</v>
      </c>
      <c r="E3" s="4" t="s">
        <v>5</v>
      </c>
      <c r="F3" s="4"/>
      <c r="G3" s="5" t="s">
        <v>6</v>
      </c>
      <c r="H3" s="6" t="s">
        <v>7</v>
      </c>
    </row>
    <row r="4" spans="2:8" ht="6.75" customHeight="1" thickBot="1" x14ac:dyDescent="0.3">
      <c r="D4" s="8"/>
    </row>
    <row r="5" spans="2:8" ht="15" customHeight="1" x14ac:dyDescent="0.25">
      <c r="B5" s="9" t="s">
        <v>8</v>
      </c>
      <c r="C5" s="10">
        <v>1</v>
      </c>
      <c r="D5" s="10">
        <v>8</v>
      </c>
      <c r="E5" s="11" t="s">
        <v>9</v>
      </c>
      <c r="F5" s="11"/>
      <c r="G5" s="11"/>
      <c r="H5" s="12"/>
    </row>
    <row r="6" spans="2:8" ht="15" customHeight="1" x14ac:dyDescent="0.25">
      <c r="B6" s="13" t="s">
        <v>10</v>
      </c>
      <c r="C6" s="14">
        <v>2</v>
      </c>
      <c r="D6" s="14">
        <v>6</v>
      </c>
      <c r="E6" s="15" t="s">
        <v>11</v>
      </c>
      <c r="F6" s="15"/>
      <c r="G6" s="15"/>
      <c r="H6" s="16" t="s">
        <v>12</v>
      </c>
    </row>
    <row r="7" spans="2:8" ht="15" customHeight="1" x14ac:dyDescent="0.25">
      <c r="B7" s="13" t="s">
        <v>13</v>
      </c>
      <c r="C7" s="14">
        <v>2</v>
      </c>
      <c r="D7" s="14">
        <v>16</v>
      </c>
      <c r="E7" s="15" t="s">
        <v>14</v>
      </c>
      <c r="F7" s="15"/>
      <c r="G7" s="15"/>
      <c r="H7" s="16"/>
    </row>
    <row r="8" spans="2:8" ht="15" customHeight="1" x14ac:dyDescent="0.25">
      <c r="B8" s="13" t="s">
        <v>15</v>
      </c>
      <c r="C8" s="14">
        <v>2</v>
      </c>
      <c r="D8" s="14"/>
      <c r="E8" s="15" t="s">
        <v>16</v>
      </c>
      <c r="F8" s="15"/>
      <c r="G8" s="15"/>
      <c r="H8" s="16"/>
    </row>
    <row r="9" spans="2:8" ht="15" customHeight="1" x14ac:dyDescent="0.25">
      <c r="B9" s="13" t="s">
        <v>17</v>
      </c>
      <c r="C9" s="14">
        <v>3</v>
      </c>
      <c r="D9" s="14">
        <v>8</v>
      </c>
      <c r="E9" s="15" t="s">
        <v>18</v>
      </c>
      <c r="F9" s="15"/>
      <c r="G9" s="15" t="s">
        <v>19</v>
      </c>
      <c r="H9" s="16" t="s">
        <v>20</v>
      </c>
    </row>
    <row r="10" spans="2:8" ht="15" customHeight="1" x14ac:dyDescent="0.25">
      <c r="B10" s="13" t="s">
        <v>21</v>
      </c>
      <c r="C10" s="17"/>
      <c r="D10" s="17"/>
      <c r="E10" s="18" t="s">
        <v>22</v>
      </c>
      <c r="F10" s="18"/>
      <c r="G10" s="18" t="s">
        <v>23</v>
      </c>
      <c r="H10" s="19" t="s">
        <v>24</v>
      </c>
    </row>
    <row r="11" spans="2:8" ht="15.75" thickBot="1" x14ac:dyDescent="0.3">
      <c r="B11" s="20"/>
      <c r="C11" s="21"/>
      <c r="D11" s="21"/>
      <c r="E11" s="22"/>
      <c r="F11" s="22"/>
      <c r="G11" s="22"/>
      <c r="H11" s="23"/>
    </row>
    <row r="12" spans="2:8" ht="8.25" customHeight="1" thickBot="1" x14ac:dyDescent="0.3"/>
    <row r="13" spans="2:8" ht="15" customHeight="1" x14ac:dyDescent="0.25">
      <c r="B13" s="1" t="s">
        <v>25</v>
      </c>
      <c r="E13" s="24" t="s">
        <v>26</v>
      </c>
      <c r="F13" s="25"/>
      <c r="G13" s="25"/>
      <c r="H13" s="26"/>
    </row>
    <row r="14" spans="2:8" ht="15" customHeight="1" x14ac:dyDescent="0.25">
      <c r="B14" s="1" t="s">
        <v>27</v>
      </c>
      <c r="E14" s="27" t="s">
        <v>28</v>
      </c>
      <c r="F14" s="28"/>
      <c r="G14" s="28" t="s">
        <v>29</v>
      </c>
      <c r="H14" s="29"/>
    </row>
    <row r="15" spans="2:8" x14ac:dyDescent="0.25">
      <c r="B15" s="1" t="s">
        <v>30</v>
      </c>
      <c r="E15" s="27" t="s">
        <v>31</v>
      </c>
      <c r="F15" s="28"/>
      <c r="G15" s="28" t="s">
        <v>32</v>
      </c>
      <c r="H15" s="29" t="s">
        <v>33</v>
      </c>
    </row>
    <row r="16" spans="2:8" x14ac:dyDescent="0.25">
      <c r="B16" s="1" t="s">
        <v>34</v>
      </c>
      <c r="E16" s="27" t="s">
        <v>35</v>
      </c>
      <c r="F16" s="28"/>
      <c r="G16" s="28"/>
      <c r="H16" s="29"/>
    </row>
    <row r="17" spans="2:8" x14ac:dyDescent="0.25">
      <c r="B17" s="1" t="s">
        <v>36</v>
      </c>
      <c r="E17" s="27" t="s">
        <v>37</v>
      </c>
      <c r="F17" s="88"/>
      <c r="G17" s="28"/>
      <c r="H17" s="29" t="s">
        <v>137</v>
      </c>
    </row>
    <row r="18" spans="2:8" x14ac:dyDescent="0.25">
      <c r="B18" s="1" t="s">
        <v>38</v>
      </c>
      <c r="E18" s="27" t="s">
        <v>39</v>
      </c>
      <c r="F18" s="88"/>
      <c r="G18" s="28"/>
      <c r="H18" s="29" t="s">
        <v>40</v>
      </c>
    </row>
    <row r="19" spans="2:8" ht="15.75" thickBot="1" x14ac:dyDescent="0.3">
      <c r="B19" s="1" t="s">
        <v>41</v>
      </c>
      <c r="E19" s="30" t="s">
        <v>295</v>
      </c>
      <c r="F19" s="89"/>
      <c r="G19" s="32"/>
      <c r="H19" s="33"/>
    </row>
    <row r="20" spans="2:8" x14ac:dyDescent="0.25">
      <c r="B20" s="1" t="s">
        <v>42</v>
      </c>
      <c r="E20" s="34"/>
      <c r="F20" s="34"/>
      <c r="G20" s="35"/>
      <c r="H20" s="34"/>
    </row>
    <row r="21" spans="2:8" x14ac:dyDescent="0.25">
      <c r="B21" s="1" t="s">
        <v>43</v>
      </c>
      <c r="E21" s="34"/>
      <c r="F21" s="34"/>
      <c r="G21" s="35"/>
      <c r="H21" s="34"/>
    </row>
    <row r="22" spans="2:8" x14ac:dyDescent="0.25">
      <c r="B22" s="1" t="s">
        <v>44</v>
      </c>
      <c r="E22" s="34"/>
      <c r="F22" s="34"/>
      <c r="G22" s="35"/>
      <c r="H22" s="34"/>
    </row>
    <row r="23" spans="2:8" x14ac:dyDescent="0.25">
      <c r="B23" s="1" t="s">
        <v>45</v>
      </c>
      <c r="E23" s="34"/>
      <c r="F23" s="34"/>
      <c r="G23" s="35"/>
      <c r="H23" s="34"/>
    </row>
    <row r="24" spans="2:8" ht="7.5" customHeight="1" x14ac:dyDescent="0.25">
      <c r="B24" s="1"/>
      <c r="E24" s="34"/>
      <c r="F24" s="34"/>
      <c r="G24" s="35"/>
      <c r="H24" s="34"/>
    </row>
    <row r="25" spans="2:8" x14ac:dyDescent="0.25">
      <c r="B25" s="1" t="s">
        <v>240</v>
      </c>
      <c r="E25" s="34"/>
      <c r="F25" s="34"/>
      <c r="G25" s="35"/>
      <c r="H25" s="34"/>
    </row>
    <row r="26" spans="2:8" x14ac:dyDescent="0.25">
      <c r="B26" s="63" t="s">
        <v>241</v>
      </c>
      <c r="E26" s="34" t="s">
        <v>251</v>
      </c>
      <c r="F26" s="34"/>
      <c r="G26" s="35"/>
      <c r="H26" s="34"/>
    </row>
    <row r="27" spans="2:8" x14ac:dyDescent="0.25">
      <c r="B27" s="63" t="s">
        <v>242</v>
      </c>
      <c r="E27" s="34" t="s">
        <v>252</v>
      </c>
      <c r="F27" s="34"/>
      <c r="G27" s="35"/>
      <c r="H27" s="34"/>
    </row>
    <row r="28" spans="2:8" x14ac:dyDescent="0.25">
      <c r="B28" s="63" t="s">
        <v>243</v>
      </c>
      <c r="E28" s="34" t="s">
        <v>247</v>
      </c>
      <c r="F28" s="34"/>
      <c r="G28" s="35"/>
      <c r="H28" s="34"/>
    </row>
    <row r="29" spans="2:8" x14ac:dyDescent="0.25">
      <c r="B29" s="63" t="s">
        <v>244</v>
      </c>
      <c r="E29" s="34" t="s">
        <v>248</v>
      </c>
      <c r="F29" s="34"/>
      <c r="G29" s="35"/>
      <c r="H29" s="34"/>
    </row>
    <row r="30" spans="2:8" x14ac:dyDescent="0.25">
      <c r="B30" s="64" t="s">
        <v>245</v>
      </c>
      <c r="E30" s="34" t="s">
        <v>249</v>
      </c>
      <c r="F30" s="34"/>
      <c r="G30" s="35"/>
      <c r="H30" s="34"/>
    </row>
    <row r="31" spans="2:8" x14ac:dyDescent="0.25">
      <c r="B31" s="64" t="s">
        <v>246</v>
      </c>
      <c r="E31" s="62" t="s">
        <v>250</v>
      </c>
      <c r="F31" s="34"/>
      <c r="G31" s="35"/>
      <c r="H31" s="34"/>
    </row>
    <row r="32" spans="2:8" ht="9" customHeight="1" x14ac:dyDescent="0.25">
      <c r="B32" s="64"/>
      <c r="E32" s="62"/>
      <c r="F32" s="34"/>
      <c r="G32" s="35"/>
      <c r="H32" s="34"/>
    </row>
    <row r="33" spans="2:8" x14ac:dyDescent="0.25">
      <c r="B33" s="1" t="s">
        <v>46</v>
      </c>
      <c r="C33" s="1"/>
      <c r="D33" s="1"/>
      <c r="E33" s="1"/>
      <c r="F33" s="34"/>
      <c r="G33" s="35"/>
      <c r="H33" s="34"/>
    </row>
    <row r="34" spans="2:8" x14ac:dyDescent="0.25">
      <c r="B34" s="1" t="s">
        <v>47</v>
      </c>
      <c r="C34" s="1"/>
      <c r="D34" s="1"/>
      <c r="E34" s="1" t="s">
        <v>48</v>
      </c>
      <c r="F34" s="34"/>
      <c r="G34" s="35"/>
      <c r="H34" s="34"/>
    </row>
    <row r="35" spans="2:8" x14ac:dyDescent="0.25">
      <c r="B35" s="1" t="s">
        <v>49</v>
      </c>
      <c r="C35" s="1"/>
      <c r="D35" s="1"/>
      <c r="E35" s="1"/>
      <c r="F35" s="34"/>
      <c r="G35" s="35"/>
      <c r="H35" s="34"/>
    </row>
    <row r="36" spans="2:8" x14ac:dyDescent="0.25">
      <c r="B36" s="1" t="s">
        <v>50</v>
      </c>
      <c r="C36" s="1"/>
      <c r="D36" s="1"/>
      <c r="E36" s="1"/>
      <c r="F36" s="34"/>
      <c r="G36" s="35"/>
      <c r="H36" s="34"/>
    </row>
    <row r="37" spans="2:8" x14ac:dyDescent="0.25">
      <c r="B37" s="1" t="s">
        <v>51</v>
      </c>
      <c r="C37" s="1"/>
      <c r="D37" s="1"/>
      <c r="E37" s="1" t="s">
        <v>52</v>
      </c>
      <c r="F37" s="34"/>
      <c r="G37" s="35"/>
      <c r="H37" s="34"/>
    </row>
    <row r="38" spans="2:8" x14ac:dyDescent="0.25">
      <c r="B38" s="1" t="s">
        <v>55</v>
      </c>
      <c r="C38" s="1"/>
      <c r="D38" s="1"/>
      <c r="E38" s="1" t="s">
        <v>298</v>
      </c>
      <c r="F38" s="34"/>
      <c r="G38" s="35"/>
      <c r="H38" s="34"/>
    </row>
    <row r="39" spans="2:8" x14ac:dyDescent="0.25">
      <c r="B39" s="1" t="s">
        <v>297</v>
      </c>
      <c r="C39" s="1"/>
      <c r="D39" s="1"/>
      <c r="E39" s="1"/>
      <c r="F39" s="34"/>
      <c r="G39" s="35"/>
      <c r="H39" s="34"/>
    </row>
    <row r="40" spans="2:8" x14ac:dyDescent="0.25">
      <c r="B40" s="1" t="s">
        <v>56</v>
      </c>
      <c r="C40" s="1"/>
      <c r="D40" s="1"/>
      <c r="E40" s="1"/>
      <c r="F40" s="34"/>
      <c r="G40" s="35"/>
      <c r="H40" s="34"/>
    </row>
    <row r="41" spans="2:8" x14ac:dyDescent="0.25">
      <c r="B41" s="1" t="s">
        <v>253</v>
      </c>
      <c r="C41" s="1"/>
      <c r="D41" s="1"/>
      <c r="E41" s="1"/>
      <c r="F41" s="34"/>
      <c r="G41" s="35"/>
      <c r="H41" s="34"/>
    </row>
    <row r="42" spans="2:8" x14ac:dyDescent="0.25">
      <c r="B42" s="98" t="s">
        <v>53</v>
      </c>
      <c r="C42" s="98"/>
      <c r="D42" s="98"/>
      <c r="E42" s="98" t="s">
        <v>54</v>
      </c>
      <c r="F42" s="34"/>
      <c r="G42" s="35"/>
      <c r="H42" s="34"/>
    </row>
    <row r="43" spans="2:8" x14ac:dyDescent="0.25">
      <c r="B43" s="1"/>
      <c r="E43" s="34"/>
      <c r="F43" s="34"/>
      <c r="G43" s="35"/>
      <c r="H43" s="34"/>
    </row>
  </sheetData>
  <pageMargins left="0.25" right="0.25" top="0.5" bottom="0.5" header="0.3" footer="0.3"/>
  <pageSetup scale="4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53"/>
  <sheetViews>
    <sheetView zoomScaleNormal="100" workbookViewId="0">
      <pane ySplit="3" topLeftCell="A13" activePane="bottomLeft" state="frozenSplit"/>
      <selection activeCell="A2" sqref="A2:XFD2"/>
      <selection pane="bottomLeft" activeCell="H29" sqref="H29"/>
    </sheetView>
  </sheetViews>
  <sheetFormatPr defaultRowHeight="15" x14ac:dyDescent="0.25"/>
  <cols>
    <col min="1" max="1" width="2.5703125" customWidth="1"/>
    <col min="2" max="2" width="11.140625" customWidth="1"/>
    <col min="3" max="3" width="9.5703125" customWidth="1"/>
    <col min="4" max="4" width="6.42578125" customWidth="1"/>
    <col min="5" max="5" width="52.28515625" customWidth="1"/>
    <col min="6" max="6" width="7.7109375" style="8" customWidth="1"/>
    <col min="7" max="7" width="38" customWidth="1"/>
    <col min="8" max="8" width="54.42578125" customWidth="1"/>
    <col min="9" max="9" width="4.140625" customWidth="1"/>
    <col min="10" max="10" width="3.85546875" customWidth="1"/>
  </cols>
  <sheetData>
    <row r="1" spans="2:10" x14ac:dyDescent="0.25">
      <c r="B1" s="1" t="s">
        <v>292</v>
      </c>
      <c r="C1" s="1"/>
      <c r="D1" s="1"/>
      <c r="F1" s="85"/>
      <c r="G1" s="1" t="s">
        <v>57</v>
      </c>
      <c r="H1" t="s">
        <v>293</v>
      </c>
    </row>
    <row r="2" spans="2:10" ht="5.25" customHeight="1" thickBot="1" x14ac:dyDescent="0.3"/>
    <row r="3" spans="2:10" s="84" customFormat="1" ht="30.75" thickBot="1" x14ac:dyDescent="0.3">
      <c r="B3" s="80" t="s">
        <v>59</v>
      </c>
      <c r="C3" s="81" t="s">
        <v>60</v>
      </c>
      <c r="D3" s="81" t="s">
        <v>61</v>
      </c>
      <c r="E3" s="82" t="s">
        <v>5</v>
      </c>
      <c r="F3" s="82" t="s">
        <v>288</v>
      </c>
      <c r="G3" s="95" t="s">
        <v>6</v>
      </c>
      <c r="H3" s="83" t="s">
        <v>7</v>
      </c>
      <c r="I3" s="80" t="s">
        <v>289</v>
      </c>
      <c r="J3" s="83" t="s">
        <v>290</v>
      </c>
    </row>
    <row r="4" spans="2:10" ht="6.75" customHeight="1" thickBot="1" x14ac:dyDescent="0.3"/>
    <row r="5" spans="2:10" ht="15" customHeight="1" x14ac:dyDescent="0.25">
      <c r="B5" s="37"/>
      <c r="C5" s="57" t="s">
        <v>309</v>
      </c>
      <c r="D5" s="58"/>
      <c r="E5" s="78" t="s">
        <v>159</v>
      </c>
      <c r="F5" s="10"/>
      <c r="G5" s="11" t="s">
        <v>308</v>
      </c>
      <c r="H5" s="12" t="s">
        <v>307</v>
      </c>
      <c r="I5" s="91"/>
      <c r="J5" s="12"/>
    </row>
    <row r="6" spans="2:10" ht="15" customHeight="1" x14ac:dyDescent="0.25">
      <c r="B6" s="27" t="s">
        <v>172</v>
      </c>
      <c r="C6" s="56" t="s">
        <v>187</v>
      </c>
      <c r="D6" s="39">
        <v>0.125</v>
      </c>
      <c r="E6" s="15" t="s">
        <v>175</v>
      </c>
      <c r="F6" s="14"/>
      <c r="G6" s="15" t="s">
        <v>273</v>
      </c>
      <c r="H6" s="16" t="s">
        <v>287</v>
      </c>
      <c r="I6" s="92">
        <v>1</v>
      </c>
      <c r="J6" s="16">
        <v>1</v>
      </c>
    </row>
    <row r="7" spans="2:10" ht="15" customHeight="1" x14ac:dyDescent="0.25">
      <c r="B7" s="27" t="s">
        <v>173</v>
      </c>
      <c r="C7" s="56" t="s">
        <v>188</v>
      </c>
      <c r="D7" s="39">
        <v>0.125</v>
      </c>
      <c r="E7" s="15" t="s">
        <v>174</v>
      </c>
      <c r="F7" s="14"/>
      <c r="G7" s="15"/>
      <c r="H7" s="16" t="s">
        <v>274</v>
      </c>
      <c r="I7" s="92">
        <v>1</v>
      </c>
      <c r="J7" s="16">
        <v>1</v>
      </c>
    </row>
    <row r="8" spans="2:10" ht="15" customHeight="1" x14ac:dyDescent="0.25">
      <c r="B8" s="27" t="s">
        <v>171</v>
      </c>
      <c r="C8" s="56" t="s">
        <v>190</v>
      </c>
      <c r="D8" s="39">
        <v>0.125</v>
      </c>
      <c r="E8" s="15" t="s">
        <v>171</v>
      </c>
      <c r="F8" s="14"/>
      <c r="G8" s="15"/>
      <c r="H8" s="16"/>
      <c r="I8" s="92">
        <v>1</v>
      </c>
      <c r="J8" s="16">
        <v>1</v>
      </c>
    </row>
    <row r="9" spans="2:10" ht="15" customHeight="1" x14ac:dyDescent="0.25">
      <c r="B9" s="27" t="s">
        <v>277</v>
      </c>
      <c r="C9" s="56" t="s">
        <v>189</v>
      </c>
      <c r="D9" s="39">
        <v>0.125</v>
      </c>
      <c r="E9" s="15" t="s">
        <v>278</v>
      </c>
      <c r="F9" s="14"/>
      <c r="G9" s="15" t="s">
        <v>279</v>
      </c>
      <c r="H9" s="16"/>
      <c r="I9" s="92">
        <v>1</v>
      </c>
      <c r="J9" s="16">
        <v>1</v>
      </c>
    </row>
    <row r="10" spans="2:10" ht="15" customHeight="1" x14ac:dyDescent="0.25">
      <c r="B10" s="60" t="s">
        <v>254</v>
      </c>
      <c r="C10" s="56" t="s">
        <v>262</v>
      </c>
      <c r="D10" s="39">
        <v>0.125</v>
      </c>
      <c r="E10" s="18" t="s">
        <v>269</v>
      </c>
      <c r="F10" s="17" t="s">
        <v>254</v>
      </c>
      <c r="G10" s="18"/>
      <c r="H10" s="19"/>
      <c r="I10" s="92">
        <v>1</v>
      </c>
      <c r="J10" s="16">
        <v>1</v>
      </c>
    </row>
    <row r="11" spans="2:10" ht="15" customHeight="1" x14ac:dyDescent="0.25">
      <c r="B11" s="60" t="s">
        <v>255</v>
      </c>
      <c r="C11" s="56" t="s">
        <v>261</v>
      </c>
      <c r="D11" s="39">
        <v>0.125</v>
      </c>
      <c r="E11" s="18" t="s">
        <v>270</v>
      </c>
      <c r="F11" s="17" t="s">
        <v>255</v>
      </c>
      <c r="G11" s="18"/>
      <c r="H11" s="19"/>
      <c r="I11" s="92">
        <v>1</v>
      </c>
      <c r="J11" s="16">
        <v>1</v>
      </c>
    </row>
    <row r="12" spans="2:10" ht="15" customHeight="1" x14ac:dyDescent="0.25">
      <c r="B12" s="60" t="s">
        <v>256</v>
      </c>
      <c r="C12" s="56" t="s">
        <v>259</v>
      </c>
      <c r="D12" s="39">
        <v>0.125</v>
      </c>
      <c r="E12" s="18" t="s">
        <v>271</v>
      </c>
      <c r="F12" s="17" t="s">
        <v>256</v>
      </c>
      <c r="G12" s="18"/>
      <c r="H12" s="19"/>
      <c r="I12" s="92">
        <v>1</v>
      </c>
      <c r="J12" s="16">
        <v>1</v>
      </c>
    </row>
    <row r="13" spans="2:10" ht="15" customHeight="1" x14ac:dyDescent="0.25">
      <c r="B13" s="60" t="s">
        <v>257</v>
      </c>
      <c r="C13" s="56" t="s">
        <v>260</v>
      </c>
      <c r="D13" s="39">
        <v>0.125</v>
      </c>
      <c r="E13" s="15" t="s">
        <v>272</v>
      </c>
      <c r="F13" s="14" t="s">
        <v>257</v>
      </c>
      <c r="G13" s="18"/>
      <c r="H13" s="19"/>
      <c r="I13" s="92">
        <v>1</v>
      </c>
      <c r="J13" s="16">
        <v>1</v>
      </c>
    </row>
    <row r="14" spans="2:10" ht="6.75" customHeight="1" x14ac:dyDescent="0.25">
      <c r="B14" s="27"/>
      <c r="C14" s="55"/>
      <c r="D14" s="39"/>
      <c r="E14" s="15"/>
      <c r="F14" s="14"/>
      <c r="G14" s="15"/>
      <c r="H14" s="16"/>
      <c r="I14" s="92"/>
      <c r="J14" s="16"/>
    </row>
    <row r="15" spans="2:10" ht="15" customHeight="1" x14ac:dyDescent="0.25">
      <c r="B15" s="27" t="s">
        <v>162</v>
      </c>
      <c r="C15" s="56" t="s">
        <v>322</v>
      </c>
      <c r="D15" s="39">
        <v>0.125</v>
      </c>
      <c r="E15" s="15" t="s">
        <v>161</v>
      </c>
      <c r="F15" s="14"/>
      <c r="G15" s="15" t="s">
        <v>163</v>
      </c>
      <c r="H15" s="16"/>
      <c r="I15" s="92">
        <v>1</v>
      </c>
      <c r="J15" s="16">
        <v>1</v>
      </c>
    </row>
    <row r="16" spans="2:10" ht="15" customHeight="1" x14ac:dyDescent="0.25">
      <c r="B16" s="27" t="s">
        <v>266</v>
      </c>
      <c r="C16" s="56" t="s">
        <v>323</v>
      </c>
      <c r="D16" s="39">
        <v>0.125</v>
      </c>
      <c r="E16" s="15" t="s">
        <v>161</v>
      </c>
      <c r="F16" s="14"/>
      <c r="G16" s="15" t="s">
        <v>285</v>
      </c>
      <c r="H16" s="16"/>
      <c r="I16" s="92">
        <v>1</v>
      </c>
      <c r="J16" s="16">
        <v>1</v>
      </c>
    </row>
    <row r="17" spans="2:10" ht="15" customHeight="1" x14ac:dyDescent="0.25">
      <c r="B17" s="27" t="s">
        <v>267</v>
      </c>
      <c r="C17" s="56" t="s">
        <v>324</v>
      </c>
      <c r="D17" s="39">
        <v>0.125</v>
      </c>
      <c r="E17" s="15" t="s">
        <v>161</v>
      </c>
      <c r="F17" s="14"/>
      <c r="G17" s="15" t="s">
        <v>286</v>
      </c>
      <c r="H17" s="16"/>
      <c r="I17" s="92">
        <v>1</v>
      </c>
      <c r="J17" s="16">
        <v>1</v>
      </c>
    </row>
    <row r="18" spans="2:10" ht="15" customHeight="1" x14ac:dyDescent="0.25">
      <c r="B18" s="27" t="s">
        <v>268</v>
      </c>
      <c r="C18" s="56" t="s">
        <v>325</v>
      </c>
      <c r="D18" s="39">
        <v>0.125</v>
      </c>
      <c r="E18" s="15" t="s">
        <v>161</v>
      </c>
      <c r="F18" s="14"/>
      <c r="G18" s="15" t="s">
        <v>194</v>
      </c>
      <c r="H18" s="16"/>
      <c r="I18" s="92">
        <v>1</v>
      </c>
      <c r="J18" s="16">
        <v>1</v>
      </c>
    </row>
    <row r="19" spans="2:10" ht="15" customHeight="1" x14ac:dyDescent="0.25">
      <c r="B19" s="27" t="s">
        <v>164</v>
      </c>
      <c r="C19" s="56" t="s">
        <v>326</v>
      </c>
      <c r="D19" s="39">
        <v>0.125</v>
      </c>
      <c r="E19" s="15" t="s">
        <v>193</v>
      </c>
      <c r="F19" s="14"/>
      <c r="G19" s="15" t="s">
        <v>275</v>
      </c>
      <c r="H19" s="16"/>
      <c r="I19" s="92">
        <v>1</v>
      </c>
      <c r="J19" s="16">
        <v>1</v>
      </c>
    </row>
    <row r="20" spans="2:10" ht="15" customHeight="1" x14ac:dyDescent="0.25">
      <c r="B20" s="27" t="s">
        <v>165</v>
      </c>
      <c r="C20" s="56" t="s">
        <v>327</v>
      </c>
      <c r="D20" s="39">
        <v>0.125</v>
      </c>
      <c r="E20" s="15" t="s">
        <v>169</v>
      </c>
      <c r="F20" s="14"/>
      <c r="G20" s="15" t="s">
        <v>282</v>
      </c>
      <c r="H20" s="16" t="s">
        <v>280</v>
      </c>
      <c r="I20" s="92">
        <v>1</v>
      </c>
      <c r="J20" s="16">
        <v>1</v>
      </c>
    </row>
    <row r="21" spans="2:10" ht="15" customHeight="1" x14ac:dyDescent="0.25">
      <c r="B21" s="27" t="s">
        <v>166</v>
      </c>
      <c r="C21" s="56" t="s">
        <v>328</v>
      </c>
      <c r="D21" s="39">
        <v>0.125</v>
      </c>
      <c r="E21" s="15" t="s">
        <v>170</v>
      </c>
      <c r="F21" s="14"/>
      <c r="G21" s="15" t="s">
        <v>283</v>
      </c>
      <c r="H21" s="16" t="s">
        <v>281</v>
      </c>
      <c r="I21" s="92">
        <v>1</v>
      </c>
      <c r="J21" s="16">
        <v>1</v>
      </c>
    </row>
    <row r="22" spans="2:10" ht="15" customHeight="1" x14ac:dyDescent="0.25">
      <c r="B22" s="27" t="s">
        <v>167</v>
      </c>
      <c r="C22" s="56" t="s">
        <v>329</v>
      </c>
      <c r="D22" s="39">
        <v>0.125</v>
      </c>
      <c r="E22" s="15" t="s">
        <v>168</v>
      </c>
      <c r="F22" s="14"/>
      <c r="G22" s="15" t="s">
        <v>284</v>
      </c>
      <c r="H22" s="16" t="s">
        <v>276</v>
      </c>
      <c r="I22" s="92">
        <v>1</v>
      </c>
      <c r="J22" s="16">
        <v>1</v>
      </c>
    </row>
    <row r="23" spans="2:10" ht="6" customHeight="1" x14ac:dyDescent="0.25">
      <c r="B23" s="27"/>
      <c r="C23" s="55"/>
      <c r="D23" s="39"/>
      <c r="E23" s="15"/>
      <c r="F23" s="14"/>
      <c r="G23" s="15"/>
      <c r="H23" s="16"/>
      <c r="I23" s="92"/>
      <c r="J23" s="16"/>
    </row>
    <row r="24" spans="2:10" ht="15" customHeight="1" x14ac:dyDescent="0.25">
      <c r="B24" s="27" t="s">
        <v>71</v>
      </c>
      <c r="C24" s="71" t="s">
        <v>379</v>
      </c>
      <c r="D24" s="39">
        <v>0.75</v>
      </c>
      <c r="E24" s="40" t="s">
        <v>72</v>
      </c>
      <c r="F24" s="86"/>
      <c r="G24" s="40"/>
      <c r="H24" s="41" t="s">
        <v>384</v>
      </c>
      <c r="I24" s="92">
        <v>6</v>
      </c>
      <c r="J24" s="16">
        <v>8</v>
      </c>
    </row>
    <row r="25" spans="2:10" ht="15" customHeight="1" x14ac:dyDescent="0.25">
      <c r="B25" s="27" t="s">
        <v>144</v>
      </c>
      <c r="C25" s="56" t="s">
        <v>380</v>
      </c>
      <c r="D25" s="39">
        <v>0.25</v>
      </c>
      <c r="E25" s="15" t="s">
        <v>143</v>
      </c>
      <c r="F25" s="14" t="s">
        <v>177</v>
      </c>
      <c r="G25" s="15" t="s">
        <v>90</v>
      </c>
      <c r="H25" s="41" t="s">
        <v>384</v>
      </c>
      <c r="I25" s="92">
        <v>2</v>
      </c>
      <c r="J25" s="16">
        <v>2</v>
      </c>
    </row>
    <row r="26" spans="2:10" ht="15" customHeight="1" x14ac:dyDescent="0.25">
      <c r="B26" s="27" t="s">
        <v>91</v>
      </c>
      <c r="C26" s="56" t="s">
        <v>381</v>
      </c>
      <c r="D26" s="39">
        <v>0.25</v>
      </c>
      <c r="E26" s="15" t="s">
        <v>92</v>
      </c>
      <c r="F26" s="14" t="s">
        <v>178</v>
      </c>
      <c r="G26" s="15"/>
      <c r="H26" s="41" t="s">
        <v>384</v>
      </c>
      <c r="I26" s="92">
        <v>2</v>
      </c>
      <c r="J26" s="16">
        <v>2</v>
      </c>
    </row>
    <row r="27" spans="2:10" ht="15" customHeight="1" x14ac:dyDescent="0.25">
      <c r="B27" s="27" t="s">
        <v>145</v>
      </c>
      <c r="C27" s="56" t="s">
        <v>382</v>
      </c>
      <c r="D27" s="39">
        <v>0.25</v>
      </c>
      <c r="E27" s="15" t="s">
        <v>146</v>
      </c>
      <c r="F27" s="14" t="s">
        <v>179</v>
      </c>
      <c r="G27" s="15" t="s">
        <v>90</v>
      </c>
      <c r="H27" s="41" t="s">
        <v>384</v>
      </c>
      <c r="I27" s="92">
        <v>2</v>
      </c>
      <c r="J27" s="16">
        <v>2</v>
      </c>
    </row>
    <row r="28" spans="2:10" ht="15" customHeight="1" x14ac:dyDescent="0.25">
      <c r="B28" s="27" t="s">
        <v>95</v>
      </c>
      <c r="C28" s="56" t="s">
        <v>383</v>
      </c>
      <c r="D28" s="39">
        <v>0.25</v>
      </c>
      <c r="E28" s="15" t="s">
        <v>96</v>
      </c>
      <c r="F28" s="14"/>
      <c r="G28" s="15"/>
      <c r="H28" s="41" t="s">
        <v>384</v>
      </c>
      <c r="I28" s="92">
        <v>2</v>
      </c>
      <c r="J28" s="16">
        <v>2</v>
      </c>
    </row>
    <row r="29" spans="2:10" ht="15" customHeight="1" x14ac:dyDescent="0.25">
      <c r="B29" s="27" t="s">
        <v>76</v>
      </c>
      <c r="C29" s="56" t="s">
        <v>318</v>
      </c>
      <c r="D29" s="39">
        <v>0.25</v>
      </c>
      <c r="E29" s="15" t="s">
        <v>77</v>
      </c>
      <c r="F29" s="14" t="s">
        <v>186</v>
      </c>
      <c r="G29" s="15"/>
      <c r="H29" s="16"/>
      <c r="I29" s="92">
        <v>2</v>
      </c>
      <c r="J29" s="16">
        <v>2</v>
      </c>
    </row>
    <row r="30" spans="2:10" ht="15" customHeight="1" x14ac:dyDescent="0.25">
      <c r="B30" s="27" t="s">
        <v>81</v>
      </c>
      <c r="C30" s="56" t="s">
        <v>319</v>
      </c>
      <c r="D30" s="39">
        <v>0.25</v>
      </c>
      <c r="E30" s="15" t="s">
        <v>82</v>
      </c>
      <c r="F30" s="14" t="s">
        <v>184</v>
      </c>
      <c r="G30" s="15"/>
      <c r="H30" s="16"/>
      <c r="I30" s="92">
        <v>2</v>
      </c>
      <c r="J30" s="16">
        <v>2</v>
      </c>
    </row>
    <row r="31" spans="2:10" ht="15" customHeight="1" x14ac:dyDescent="0.25">
      <c r="B31" s="27" t="s">
        <v>83</v>
      </c>
      <c r="C31" s="56" t="s">
        <v>320</v>
      </c>
      <c r="D31" s="39">
        <v>0.25</v>
      </c>
      <c r="E31" s="15" t="s">
        <v>84</v>
      </c>
      <c r="F31" s="14" t="s">
        <v>185</v>
      </c>
      <c r="G31" s="15"/>
      <c r="H31" s="16"/>
      <c r="I31" s="92">
        <v>2</v>
      </c>
      <c r="J31" s="16">
        <v>2</v>
      </c>
    </row>
    <row r="32" spans="2:10" ht="15" customHeight="1" x14ac:dyDescent="0.25">
      <c r="B32" s="27" t="s">
        <v>99</v>
      </c>
      <c r="C32" s="71" t="s">
        <v>321</v>
      </c>
      <c r="D32" s="39">
        <v>0.25</v>
      </c>
      <c r="E32" s="15" t="s">
        <v>147</v>
      </c>
      <c r="F32" s="14"/>
      <c r="G32" s="15" t="s">
        <v>98</v>
      </c>
      <c r="H32" s="16"/>
      <c r="I32" s="92">
        <v>2</v>
      </c>
      <c r="J32" s="16">
        <v>2</v>
      </c>
    </row>
    <row r="33" spans="2:10" ht="15" customHeight="1" x14ac:dyDescent="0.25">
      <c r="B33" s="27" t="s">
        <v>64</v>
      </c>
      <c r="C33" s="38" t="s">
        <v>310</v>
      </c>
      <c r="D33" s="39">
        <v>0.375</v>
      </c>
      <c r="E33" s="40" t="s">
        <v>65</v>
      </c>
      <c r="F33" s="86" t="s">
        <v>176</v>
      </c>
      <c r="G33" s="40" t="s">
        <v>158</v>
      </c>
      <c r="H33" s="41" t="s">
        <v>148</v>
      </c>
      <c r="I33" s="92">
        <v>3</v>
      </c>
      <c r="J33" s="16">
        <v>4</v>
      </c>
    </row>
    <row r="34" spans="2:10" ht="15" customHeight="1" x14ac:dyDescent="0.25">
      <c r="B34" s="42" t="s">
        <v>67</v>
      </c>
      <c r="C34" s="71" t="s">
        <v>311</v>
      </c>
      <c r="D34" s="43">
        <v>0.375</v>
      </c>
      <c r="E34" s="40" t="s">
        <v>68</v>
      </c>
      <c r="F34" s="86" t="s">
        <v>176</v>
      </c>
      <c r="G34" s="40" t="s">
        <v>158</v>
      </c>
      <c r="H34" s="41" t="s">
        <v>149</v>
      </c>
      <c r="I34" s="92">
        <v>3</v>
      </c>
      <c r="J34" s="16">
        <v>4</v>
      </c>
    </row>
    <row r="35" spans="2:10" ht="15" customHeight="1" x14ac:dyDescent="0.25">
      <c r="B35" s="42" t="s">
        <v>69</v>
      </c>
      <c r="C35" s="71" t="s">
        <v>312</v>
      </c>
      <c r="D35" s="43">
        <v>0.375</v>
      </c>
      <c r="E35" s="40" t="s">
        <v>70</v>
      </c>
      <c r="F35" s="86" t="s">
        <v>176</v>
      </c>
      <c r="G35" s="40" t="s">
        <v>158</v>
      </c>
      <c r="H35" s="41" t="s">
        <v>150</v>
      </c>
      <c r="I35" s="92">
        <v>3</v>
      </c>
      <c r="J35" s="16">
        <v>4</v>
      </c>
    </row>
    <row r="36" spans="2:10" ht="15" customHeight="1" x14ac:dyDescent="0.25">
      <c r="B36" s="27" t="s">
        <v>264</v>
      </c>
      <c r="C36" s="38" t="s">
        <v>313</v>
      </c>
      <c r="D36" s="39">
        <v>0.375</v>
      </c>
      <c r="E36" s="40" t="s">
        <v>138</v>
      </c>
      <c r="F36" s="86" t="s">
        <v>176</v>
      </c>
      <c r="G36" s="40" t="s">
        <v>158</v>
      </c>
      <c r="H36" s="41" t="s">
        <v>151</v>
      </c>
      <c r="I36" s="92">
        <v>3</v>
      </c>
      <c r="J36" s="16">
        <v>4</v>
      </c>
    </row>
    <row r="37" spans="2:10" ht="15" customHeight="1" x14ac:dyDescent="0.25">
      <c r="B37" s="27" t="s">
        <v>73</v>
      </c>
      <c r="C37" s="56" t="s">
        <v>314</v>
      </c>
      <c r="D37" s="39">
        <v>0.25</v>
      </c>
      <c r="E37" s="15" t="s">
        <v>156</v>
      </c>
      <c r="F37" s="14" t="s">
        <v>180</v>
      </c>
      <c r="G37" s="15" t="s">
        <v>140</v>
      </c>
      <c r="H37" s="16" t="s">
        <v>74</v>
      </c>
      <c r="I37" s="92">
        <v>2</v>
      </c>
      <c r="J37" s="16">
        <v>2</v>
      </c>
    </row>
    <row r="38" spans="2:10" ht="15" customHeight="1" x14ac:dyDescent="0.25">
      <c r="B38" s="27" t="s">
        <v>75</v>
      </c>
      <c r="C38" s="56" t="s">
        <v>315</v>
      </c>
      <c r="D38" s="39">
        <v>0.25</v>
      </c>
      <c r="E38" s="15" t="s">
        <v>157</v>
      </c>
      <c r="F38" s="14" t="s">
        <v>181</v>
      </c>
      <c r="G38" s="15" t="s">
        <v>140</v>
      </c>
      <c r="H38" s="16" t="s">
        <v>74</v>
      </c>
      <c r="I38" s="92">
        <v>2</v>
      </c>
      <c r="J38" s="16">
        <v>2</v>
      </c>
    </row>
    <row r="39" spans="2:10" ht="15" customHeight="1" x14ac:dyDescent="0.25">
      <c r="B39" s="27" t="s">
        <v>85</v>
      </c>
      <c r="C39" s="56" t="s">
        <v>316</v>
      </c>
      <c r="D39" s="39">
        <v>0.25</v>
      </c>
      <c r="E39" s="15" t="s">
        <v>141</v>
      </c>
      <c r="F39" s="14" t="s">
        <v>182</v>
      </c>
      <c r="G39" s="15" t="s">
        <v>86</v>
      </c>
      <c r="H39" s="16" t="s">
        <v>74</v>
      </c>
      <c r="I39" s="92">
        <v>2</v>
      </c>
      <c r="J39" s="16">
        <v>2</v>
      </c>
    </row>
    <row r="40" spans="2:10" ht="15" customHeight="1" x14ac:dyDescent="0.25">
      <c r="B40" s="27" t="s">
        <v>87</v>
      </c>
      <c r="C40" s="56" t="s">
        <v>317</v>
      </c>
      <c r="D40" s="39">
        <v>0.25</v>
      </c>
      <c r="E40" s="15" t="s">
        <v>142</v>
      </c>
      <c r="F40" s="14" t="s">
        <v>183</v>
      </c>
      <c r="G40" s="15" t="s">
        <v>88</v>
      </c>
      <c r="H40" s="16" t="s">
        <v>74</v>
      </c>
      <c r="I40" s="92">
        <v>2</v>
      </c>
      <c r="J40" s="16">
        <v>2</v>
      </c>
    </row>
    <row r="41" spans="2:10" ht="15" customHeight="1" x14ac:dyDescent="0.25">
      <c r="B41" s="60"/>
      <c r="C41" s="65"/>
      <c r="D41" s="66"/>
      <c r="E41" s="18"/>
      <c r="F41" s="17"/>
      <c r="G41" s="18"/>
      <c r="H41" s="19"/>
      <c r="I41" s="92"/>
      <c r="J41" s="16"/>
    </row>
    <row r="42" spans="2:10" ht="15.75" thickBot="1" x14ac:dyDescent="0.3">
      <c r="B42" s="30"/>
      <c r="C42" s="48"/>
      <c r="D42" s="49"/>
      <c r="E42" s="22"/>
      <c r="F42" s="21"/>
      <c r="G42" s="22"/>
      <c r="H42" s="19"/>
      <c r="I42" s="93"/>
      <c r="J42" s="19"/>
    </row>
    <row r="43" spans="2:10" s="54" customFormat="1" ht="16.5" thickBot="1" x14ac:dyDescent="0.3">
      <c r="B43" s="2">
        <f>COUNTA(B5:B42)</f>
        <v>33</v>
      </c>
      <c r="C43" s="3"/>
      <c r="D43" s="3">
        <f>SUM(D5:D41)</f>
        <v>7.25</v>
      </c>
      <c r="E43" s="79" t="s">
        <v>263</v>
      </c>
      <c r="F43" s="52"/>
      <c r="G43" s="51"/>
      <c r="H43" s="90" t="s">
        <v>291</v>
      </c>
      <c r="I43" s="94">
        <f>SUM(I33:I41)</f>
        <v>20</v>
      </c>
      <c r="J43" s="53">
        <f>SUM(J33:J41)</f>
        <v>24</v>
      </c>
    </row>
    <row r="44" spans="2:10" ht="16.5" thickBot="1" x14ac:dyDescent="0.3">
      <c r="D44" s="59" t="s">
        <v>192</v>
      </c>
    </row>
    <row r="45" spans="2:10" ht="15" customHeight="1" x14ac:dyDescent="0.25">
      <c r="E45" s="24" t="s">
        <v>160</v>
      </c>
      <c r="F45" s="87"/>
      <c r="G45" s="25"/>
      <c r="H45" s="26" t="s">
        <v>294</v>
      </c>
    </row>
    <row r="46" spans="2:10" ht="15" customHeight="1" x14ac:dyDescent="0.25">
      <c r="E46" s="27" t="s">
        <v>28</v>
      </c>
      <c r="F46" s="88"/>
      <c r="G46" s="28" t="s">
        <v>29</v>
      </c>
      <c r="H46" s="29"/>
    </row>
    <row r="47" spans="2:10" x14ac:dyDescent="0.25">
      <c r="E47" s="27" t="s">
        <v>31</v>
      </c>
      <c r="F47" s="88"/>
      <c r="G47" s="28" t="s">
        <v>32</v>
      </c>
      <c r="H47" s="29" t="s">
        <v>136</v>
      </c>
    </row>
    <row r="48" spans="2:10" x14ac:dyDescent="0.25">
      <c r="E48" s="27" t="s">
        <v>35</v>
      </c>
      <c r="F48" s="88"/>
      <c r="G48" s="28"/>
      <c r="H48" s="29"/>
    </row>
    <row r="49" spans="5:8" x14ac:dyDescent="0.25">
      <c r="E49" s="27" t="s">
        <v>37</v>
      </c>
      <c r="F49" s="88"/>
      <c r="G49" s="28"/>
      <c r="H49" s="29" t="s">
        <v>137</v>
      </c>
    </row>
    <row r="50" spans="5:8" x14ac:dyDescent="0.25">
      <c r="E50" s="27" t="s">
        <v>39</v>
      </c>
      <c r="F50" s="88"/>
      <c r="G50" s="28"/>
      <c r="H50" s="29" t="s">
        <v>40</v>
      </c>
    </row>
    <row r="51" spans="5:8" ht="15.75" thickBot="1" x14ac:dyDescent="0.3">
      <c r="E51" s="30" t="s">
        <v>295</v>
      </c>
      <c r="F51" s="89"/>
      <c r="G51" s="32"/>
      <c r="H51" s="33"/>
    </row>
    <row r="52" spans="5:8" x14ac:dyDescent="0.25">
      <c r="G52" s="36"/>
    </row>
    <row r="53" spans="5:8" x14ac:dyDescent="0.25">
      <c r="G53" s="36"/>
    </row>
  </sheetData>
  <pageMargins left="0.25" right="0.25" top="0.5" bottom="0.5" header="0.3" footer="0.3"/>
  <pageSetup scale="4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5"/>
  <sheetViews>
    <sheetView zoomScaleNormal="100" workbookViewId="0">
      <pane ySplit="3" topLeftCell="A4" activePane="bottomLeft" state="frozenSplit"/>
      <selection activeCell="A2" sqref="A2:XFD2"/>
      <selection pane="bottomLeft" activeCell="C5" sqref="C5"/>
    </sheetView>
  </sheetViews>
  <sheetFormatPr defaultRowHeight="15" x14ac:dyDescent="0.25"/>
  <cols>
    <col min="1" max="1" width="2.5703125" customWidth="1"/>
    <col min="2" max="2" width="11.140625" customWidth="1"/>
    <col min="3" max="3" width="20.7109375" customWidth="1"/>
    <col min="4" max="4" width="6.42578125" customWidth="1"/>
    <col min="5" max="5" width="52.28515625" customWidth="1"/>
    <col min="6" max="6" width="35.140625" customWidth="1"/>
    <col min="7" max="7" width="38" customWidth="1"/>
    <col min="8" max="8" width="63.42578125" customWidth="1"/>
  </cols>
  <sheetData>
    <row r="1" spans="2:8" x14ac:dyDescent="0.25">
      <c r="B1" s="1" t="s">
        <v>139</v>
      </c>
      <c r="C1" s="1"/>
      <c r="D1" s="1"/>
      <c r="F1" s="1" t="s">
        <v>57</v>
      </c>
      <c r="G1" t="s">
        <v>58</v>
      </c>
    </row>
    <row r="2" spans="2:8" ht="5.25" customHeight="1" thickBot="1" x14ac:dyDescent="0.3"/>
    <row r="3" spans="2:8" s="7" customFormat="1" ht="15.75" thickBot="1" x14ac:dyDescent="0.3">
      <c r="B3" s="2" t="s">
        <v>59</v>
      </c>
      <c r="C3" s="3" t="s">
        <v>60</v>
      </c>
      <c r="D3" s="3" t="s">
        <v>61</v>
      </c>
      <c r="E3" s="4" t="s">
        <v>5</v>
      </c>
      <c r="F3" s="4" t="s">
        <v>62</v>
      </c>
      <c r="G3" s="5" t="s">
        <v>6</v>
      </c>
      <c r="H3" s="6" t="s">
        <v>7</v>
      </c>
    </row>
    <row r="4" spans="2:8" ht="6.75" customHeight="1" thickBot="1" x14ac:dyDescent="0.3"/>
    <row r="5" spans="2:8" ht="15" customHeight="1" x14ac:dyDescent="0.25">
      <c r="B5" s="37"/>
      <c r="C5" s="70" t="s">
        <v>350</v>
      </c>
      <c r="D5" s="58" t="s">
        <v>63</v>
      </c>
      <c r="E5" s="11"/>
      <c r="F5" s="11"/>
      <c r="G5" s="11"/>
      <c r="H5" s="12"/>
    </row>
    <row r="6" spans="2:8" ht="15" customHeight="1" x14ac:dyDescent="0.25">
      <c r="B6" s="27" t="s">
        <v>64</v>
      </c>
      <c r="C6" s="38" t="s">
        <v>352</v>
      </c>
      <c r="D6" s="39">
        <v>0.5</v>
      </c>
      <c r="E6" s="40" t="s">
        <v>65</v>
      </c>
      <c r="F6" s="40"/>
      <c r="G6" s="40" t="s">
        <v>66</v>
      </c>
      <c r="H6" s="41" t="s">
        <v>148</v>
      </c>
    </row>
    <row r="7" spans="2:8" ht="15" customHeight="1" x14ac:dyDescent="0.25">
      <c r="B7" s="27" t="s">
        <v>67</v>
      </c>
      <c r="C7" s="38" t="s">
        <v>353</v>
      </c>
      <c r="D7" s="39">
        <v>0.5</v>
      </c>
      <c r="E7" s="40" t="s">
        <v>68</v>
      </c>
      <c r="F7" s="40"/>
      <c r="G7" s="40" t="s">
        <v>66</v>
      </c>
      <c r="H7" s="41" t="s">
        <v>149</v>
      </c>
    </row>
    <row r="8" spans="2:8" ht="15" customHeight="1" x14ac:dyDescent="0.25">
      <c r="B8" s="27" t="s">
        <v>69</v>
      </c>
      <c r="C8" s="38" t="s">
        <v>354</v>
      </c>
      <c r="D8" s="39">
        <v>0.5</v>
      </c>
      <c r="E8" s="40" t="s">
        <v>70</v>
      </c>
      <c r="F8" s="40"/>
      <c r="G8" s="40" t="s">
        <v>66</v>
      </c>
      <c r="H8" s="41" t="s">
        <v>150</v>
      </c>
    </row>
    <row r="9" spans="2:8" ht="15" customHeight="1" x14ac:dyDescent="0.25">
      <c r="B9" s="27" t="s">
        <v>264</v>
      </c>
      <c r="C9" s="38" t="s">
        <v>355</v>
      </c>
      <c r="D9" s="39">
        <v>0.5</v>
      </c>
      <c r="E9" s="40" t="s">
        <v>138</v>
      </c>
      <c r="F9" s="40"/>
      <c r="G9" s="40" t="s">
        <v>66</v>
      </c>
      <c r="H9" s="41" t="s">
        <v>151</v>
      </c>
    </row>
    <row r="10" spans="2:8" ht="6.75" customHeight="1" x14ac:dyDescent="0.25">
      <c r="B10" s="27"/>
      <c r="C10" s="38"/>
      <c r="D10" s="39"/>
      <c r="E10" s="40"/>
      <c r="F10" s="40"/>
      <c r="G10" s="40"/>
      <c r="H10" s="41"/>
    </row>
    <row r="11" spans="2:8" ht="15" customHeight="1" x14ac:dyDescent="0.25">
      <c r="B11" s="27" t="s">
        <v>144</v>
      </c>
      <c r="C11" s="56" t="s">
        <v>356</v>
      </c>
      <c r="D11" s="39">
        <v>0.5</v>
      </c>
      <c r="E11" s="15" t="s">
        <v>143</v>
      </c>
      <c r="F11" s="15"/>
      <c r="G11" s="15" t="s">
        <v>90</v>
      </c>
      <c r="H11" s="16" t="s">
        <v>74</v>
      </c>
    </row>
    <row r="12" spans="2:8" ht="15" customHeight="1" x14ac:dyDescent="0.25">
      <c r="B12" s="27" t="s">
        <v>91</v>
      </c>
      <c r="C12" s="56" t="s">
        <v>357</v>
      </c>
      <c r="D12" s="39">
        <v>0.5</v>
      </c>
      <c r="E12" s="15" t="s">
        <v>92</v>
      </c>
      <c r="F12" s="15"/>
      <c r="G12" s="15"/>
      <c r="H12" s="16"/>
    </row>
    <row r="13" spans="2:8" ht="15" customHeight="1" x14ac:dyDescent="0.25">
      <c r="B13" s="27" t="s">
        <v>145</v>
      </c>
      <c r="C13" s="56" t="s">
        <v>358</v>
      </c>
      <c r="D13" s="39">
        <v>0.5</v>
      </c>
      <c r="E13" s="15" t="s">
        <v>265</v>
      </c>
      <c r="F13" s="15"/>
      <c r="G13" s="15" t="s">
        <v>90</v>
      </c>
      <c r="H13" s="16" t="s">
        <v>74</v>
      </c>
    </row>
    <row r="14" spans="2:8" ht="15" customHeight="1" x14ac:dyDescent="0.25">
      <c r="B14" s="27" t="s">
        <v>95</v>
      </c>
      <c r="C14" s="56" t="s">
        <v>359</v>
      </c>
      <c r="D14" s="39">
        <v>0.5</v>
      </c>
      <c r="E14" s="15" t="s">
        <v>96</v>
      </c>
      <c r="F14" s="15"/>
      <c r="G14" s="15"/>
      <c r="H14" s="16" t="s">
        <v>97</v>
      </c>
    </row>
    <row r="15" spans="2:8" ht="6.75" customHeight="1" x14ac:dyDescent="0.25">
      <c r="B15" s="27"/>
      <c r="C15" s="38"/>
      <c r="D15" s="39"/>
      <c r="E15" s="40"/>
      <c r="F15" s="40"/>
      <c r="G15" s="40"/>
      <c r="H15" s="41"/>
    </row>
    <row r="16" spans="2:8" ht="15" customHeight="1" x14ac:dyDescent="0.25">
      <c r="B16" s="27" t="s">
        <v>73</v>
      </c>
      <c r="C16" s="56" t="s">
        <v>360</v>
      </c>
      <c r="D16" s="39">
        <v>1</v>
      </c>
      <c r="E16" s="15" t="s">
        <v>156</v>
      </c>
      <c r="F16" s="15"/>
      <c r="G16" s="15" t="s">
        <v>140</v>
      </c>
      <c r="H16" s="16" t="s">
        <v>74</v>
      </c>
    </row>
    <row r="17" spans="2:8" ht="15" customHeight="1" x14ac:dyDescent="0.25">
      <c r="B17" s="27" t="s">
        <v>75</v>
      </c>
      <c r="C17" s="56" t="s">
        <v>367</v>
      </c>
      <c r="D17" s="39">
        <v>1</v>
      </c>
      <c r="E17" s="15" t="s">
        <v>157</v>
      </c>
      <c r="F17" s="15"/>
      <c r="G17" s="15" t="s">
        <v>140</v>
      </c>
      <c r="H17" s="16" t="s">
        <v>74</v>
      </c>
    </row>
    <row r="18" spans="2:8" ht="15" customHeight="1" x14ac:dyDescent="0.25">
      <c r="B18" s="27" t="s">
        <v>85</v>
      </c>
      <c r="C18" s="56" t="s">
        <v>361</v>
      </c>
      <c r="D18" s="39">
        <v>1</v>
      </c>
      <c r="E18" s="15" t="s">
        <v>141</v>
      </c>
      <c r="F18" s="15"/>
      <c r="G18" s="15" t="s">
        <v>86</v>
      </c>
      <c r="H18" s="16" t="s">
        <v>74</v>
      </c>
    </row>
    <row r="19" spans="2:8" ht="15" customHeight="1" x14ac:dyDescent="0.25">
      <c r="B19" s="27" t="s">
        <v>87</v>
      </c>
      <c r="C19" s="56" t="s">
        <v>362</v>
      </c>
      <c r="D19" s="39">
        <v>1</v>
      </c>
      <c r="E19" s="15" t="s">
        <v>142</v>
      </c>
      <c r="F19" s="15"/>
      <c r="G19" s="15" t="s">
        <v>88</v>
      </c>
      <c r="H19" s="16" t="s">
        <v>74</v>
      </c>
    </row>
    <row r="20" spans="2:8" ht="15" customHeight="1" x14ac:dyDescent="0.25">
      <c r="B20" s="27" t="s">
        <v>99</v>
      </c>
      <c r="C20" s="56" t="s">
        <v>351</v>
      </c>
      <c r="D20" s="39">
        <v>0.5</v>
      </c>
      <c r="E20" s="15" t="s">
        <v>147</v>
      </c>
      <c r="F20" s="15"/>
      <c r="G20" s="15" t="s">
        <v>98</v>
      </c>
      <c r="H20" s="16"/>
    </row>
    <row r="21" spans="2:8" ht="15" customHeight="1" x14ac:dyDescent="0.25">
      <c r="B21" s="27" t="s">
        <v>71</v>
      </c>
      <c r="C21" s="71" t="s">
        <v>363</v>
      </c>
      <c r="D21" s="39">
        <v>0.5</v>
      </c>
      <c r="E21" s="40" t="s">
        <v>72</v>
      </c>
      <c r="F21" s="40"/>
      <c r="G21" s="40" t="s">
        <v>66</v>
      </c>
      <c r="H21" s="41" t="s">
        <v>152</v>
      </c>
    </row>
    <row r="22" spans="2:8" ht="15" customHeight="1" x14ac:dyDescent="0.25">
      <c r="B22" s="27" t="s">
        <v>76</v>
      </c>
      <c r="C22" s="56" t="s">
        <v>364</v>
      </c>
      <c r="D22" s="39">
        <v>1</v>
      </c>
      <c r="E22" s="15" t="s">
        <v>77</v>
      </c>
      <c r="F22" s="15"/>
      <c r="G22" s="15"/>
      <c r="H22" s="16"/>
    </row>
    <row r="23" spans="2:8" ht="15" customHeight="1" x14ac:dyDescent="0.25">
      <c r="B23" s="27" t="s">
        <v>81</v>
      </c>
      <c r="C23" s="56" t="s">
        <v>365</v>
      </c>
      <c r="D23" s="39">
        <v>1</v>
      </c>
      <c r="E23" s="15" t="s">
        <v>82</v>
      </c>
      <c r="F23" s="15"/>
      <c r="G23" s="15"/>
      <c r="H23" s="16"/>
    </row>
    <row r="24" spans="2:8" ht="15" customHeight="1" x14ac:dyDescent="0.25">
      <c r="B24" s="27" t="s">
        <v>83</v>
      </c>
      <c r="C24" s="56" t="s">
        <v>366</v>
      </c>
      <c r="D24" s="39">
        <v>1</v>
      </c>
      <c r="E24" s="15" t="s">
        <v>84</v>
      </c>
      <c r="F24" s="15"/>
      <c r="G24" s="15"/>
      <c r="H24" s="16"/>
    </row>
    <row r="25" spans="2:8" ht="15" customHeight="1" x14ac:dyDescent="0.25">
      <c r="B25" s="27" t="s">
        <v>78</v>
      </c>
      <c r="D25" s="39"/>
      <c r="E25" s="15" t="s">
        <v>79</v>
      </c>
      <c r="F25" s="15"/>
      <c r="G25" s="15"/>
      <c r="H25" s="16" t="s">
        <v>80</v>
      </c>
    </row>
    <row r="26" spans="2:8" ht="6.75" customHeight="1" x14ac:dyDescent="0.25">
      <c r="B26" s="27"/>
      <c r="C26" s="55"/>
      <c r="D26" s="39"/>
      <c r="E26" s="15"/>
      <c r="F26" s="15"/>
      <c r="G26" s="15"/>
      <c r="H26" s="16"/>
    </row>
    <row r="27" spans="2:8" ht="15" customHeight="1" x14ac:dyDescent="0.25">
      <c r="B27" s="27" t="s">
        <v>100</v>
      </c>
      <c r="C27" s="71" t="s">
        <v>368</v>
      </c>
      <c r="D27" s="39">
        <v>0.25</v>
      </c>
      <c r="E27" s="15" t="s">
        <v>101</v>
      </c>
      <c r="F27" s="15"/>
      <c r="G27" s="15" t="s">
        <v>102</v>
      </c>
      <c r="H27" s="16" t="s">
        <v>299</v>
      </c>
    </row>
    <row r="28" spans="2:8" ht="15" customHeight="1" x14ac:dyDescent="0.25">
      <c r="B28" s="27" t="s">
        <v>105</v>
      </c>
      <c r="C28" s="71" t="s">
        <v>369</v>
      </c>
      <c r="D28" s="39">
        <v>0.25</v>
      </c>
      <c r="E28" s="15" t="s">
        <v>106</v>
      </c>
      <c r="F28" s="15"/>
      <c r="G28" s="15" t="s">
        <v>102</v>
      </c>
      <c r="H28" s="16" t="s">
        <v>299</v>
      </c>
    </row>
    <row r="29" spans="2:8" ht="15" customHeight="1" x14ac:dyDescent="0.25">
      <c r="B29" s="27" t="s">
        <v>107</v>
      </c>
      <c r="C29" s="71" t="s">
        <v>370</v>
      </c>
      <c r="D29" s="39">
        <v>0.25</v>
      </c>
      <c r="E29" s="15" t="s">
        <v>108</v>
      </c>
      <c r="F29" s="15"/>
      <c r="G29" s="15" t="s">
        <v>102</v>
      </c>
      <c r="H29" s="16" t="s">
        <v>299</v>
      </c>
    </row>
    <row r="30" spans="2:8" ht="15" customHeight="1" x14ac:dyDescent="0.25">
      <c r="B30" s="27" t="s">
        <v>109</v>
      </c>
      <c r="C30" s="71" t="s">
        <v>371</v>
      </c>
      <c r="D30" s="39">
        <v>0.25</v>
      </c>
      <c r="E30" s="15" t="s">
        <v>110</v>
      </c>
      <c r="F30" s="15"/>
      <c r="G30" s="15" t="s">
        <v>102</v>
      </c>
      <c r="H30" s="16" t="s">
        <v>299</v>
      </c>
    </row>
    <row r="31" spans="2:8" ht="15" customHeight="1" x14ac:dyDescent="0.25">
      <c r="B31" s="27" t="s">
        <v>103</v>
      </c>
      <c r="C31" s="55"/>
      <c r="D31" s="39"/>
      <c r="E31" s="15" t="s">
        <v>101</v>
      </c>
      <c r="F31" s="15"/>
      <c r="G31" s="15" t="s">
        <v>104</v>
      </c>
      <c r="H31" s="16"/>
    </row>
    <row r="32" spans="2:8" ht="15" customHeight="1" x14ac:dyDescent="0.25">
      <c r="B32" s="27" t="s">
        <v>111</v>
      </c>
      <c r="C32" s="55" t="s">
        <v>372</v>
      </c>
      <c r="D32" s="39"/>
      <c r="E32" s="15" t="s">
        <v>112</v>
      </c>
      <c r="F32" s="15"/>
      <c r="G32" s="15" t="s">
        <v>153</v>
      </c>
      <c r="H32" s="16" t="s">
        <v>303</v>
      </c>
    </row>
    <row r="33" spans="2:8" ht="15" customHeight="1" x14ac:dyDescent="0.25">
      <c r="B33" s="27"/>
      <c r="C33" s="38"/>
      <c r="D33" s="39"/>
      <c r="E33" s="15" t="s">
        <v>113</v>
      </c>
      <c r="F33" s="15"/>
      <c r="G33" s="15"/>
      <c r="H33" s="16" t="s">
        <v>114</v>
      </c>
    </row>
    <row r="34" spans="2:8" ht="15" customHeight="1" x14ac:dyDescent="0.25">
      <c r="B34" s="27"/>
      <c r="C34" s="38"/>
      <c r="D34" s="39"/>
      <c r="E34" s="15" t="s">
        <v>115</v>
      </c>
      <c r="F34" s="15"/>
      <c r="G34" s="15"/>
      <c r="H34" s="16" t="s">
        <v>304</v>
      </c>
    </row>
    <row r="35" spans="2:8" ht="15" customHeight="1" x14ac:dyDescent="0.25">
      <c r="B35" s="27" t="s">
        <v>116</v>
      </c>
      <c r="C35" s="38"/>
      <c r="D35" s="39"/>
      <c r="E35" s="15" t="s">
        <v>117</v>
      </c>
      <c r="F35" s="15"/>
      <c r="G35" s="15"/>
      <c r="H35" s="16"/>
    </row>
    <row r="36" spans="2:8" ht="15" customHeight="1" x14ac:dyDescent="0.25">
      <c r="B36" s="27" t="s">
        <v>118</v>
      </c>
      <c r="C36" s="38"/>
      <c r="D36" s="39"/>
      <c r="E36" s="15"/>
      <c r="F36" s="15"/>
      <c r="G36" s="15"/>
      <c r="H36" s="16" t="s">
        <v>119</v>
      </c>
    </row>
    <row r="37" spans="2:8" ht="15" customHeight="1" x14ac:dyDescent="0.25">
      <c r="B37" s="27" t="s">
        <v>120</v>
      </c>
      <c r="C37" s="38"/>
      <c r="D37" s="39"/>
      <c r="E37" s="15"/>
      <c r="F37" s="15"/>
      <c r="G37" s="15"/>
      <c r="H37" s="16" t="s">
        <v>119</v>
      </c>
    </row>
    <row r="38" spans="2:8" s="46" customFormat="1" ht="15" customHeight="1" x14ac:dyDescent="0.25">
      <c r="B38" s="42" t="s">
        <v>121</v>
      </c>
      <c r="C38" s="55" t="s">
        <v>375</v>
      </c>
      <c r="D38" s="43">
        <v>0.5</v>
      </c>
      <c r="E38" s="44" t="s">
        <v>122</v>
      </c>
      <c r="F38" s="44"/>
      <c r="G38" s="44" t="s">
        <v>123</v>
      </c>
      <c r="H38" s="45" t="s">
        <v>124</v>
      </c>
    </row>
    <row r="39" spans="2:8" s="46" customFormat="1" ht="15" customHeight="1" x14ac:dyDescent="0.25">
      <c r="B39" s="42" t="s">
        <v>125</v>
      </c>
      <c r="C39" s="55" t="s">
        <v>376</v>
      </c>
      <c r="D39" s="43">
        <v>0.5</v>
      </c>
      <c r="E39" s="44" t="s">
        <v>126</v>
      </c>
      <c r="F39" s="44"/>
      <c r="G39" s="44" t="s">
        <v>123</v>
      </c>
      <c r="H39" s="45" t="s">
        <v>124</v>
      </c>
    </row>
    <row r="40" spans="2:8" ht="15" customHeight="1" x14ac:dyDescent="0.25">
      <c r="B40" s="27" t="s">
        <v>127</v>
      </c>
      <c r="C40" s="55" t="s">
        <v>377</v>
      </c>
      <c r="D40" s="39">
        <v>0.5</v>
      </c>
      <c r="E40" s="15" t="s">
        <v>128</v>
      </c>
      <c r="F40" s="15" t="s">
        <v>129</v>
      </c>
      <c r="G40" s="15" t="s">
        <v>130</v>
      </c>
      <c r="H40" s="16" t="s">
        <v>131</v>
      </c>
    </row>
    <row r="41" spans="2:8" ht="15" customHeight="1" x14ac:dyDescent="0.25">
      <c r="B41" s="27" t="s">
        <v>132</v>
      </c>
      <c r="C41" s="55" t="s">
        <v>378</v>
      </c>
      <c r="D41" s="39">
        <v>8</v>
      </c>
      <c r="E41" s="18" t="s">
        <v>133</v>
      </c>
      <c r="F41" s="15"/>
      <c r="G41" s="18" t="s">
        <v>154</v>
      </c>
      <c r="H41" s="19" t="s">
        <v>155</v>
      </c>
    </row>
    <row r="42" spans="2:8" ht="15" customHeight="1" x14ac:dyDescent="0.25">
      <c r="B42" s="27" t="s">
        <v>134</v>
      </c>
      <c r="C42" s="55" t="s">
        <v>373</v>
      </c>
      <c r="D42" s="39">
        <v>8</v>
      </c>
      <c r="E42" s="18"/>
      <c r="F42" s="47"/>
      <c r="G42" s="18"/>
      <c r="H42" s="19"/>
    </row>
    <row r="43" spans="2:8" ht="15" customHeight="1" x14ac:dyDescent="0.25">
      <c r="B43" s="60" t="s">
        <v>305</v>
      </c>
      <c r="C43" s="104" t="s">
        <v>374</v>
      </c>
      <c r="D43" s="66"/>
      <c r="E43" s="18"/>
      <c r="F43" s="47"/>
      <c r="G43" s="18"/>
      <c r="H43" s="19" t="s">
        <v>306</v>
      </c>
    </row>
    <row r="44" spans="2:8" ht="15.75" thickBot="1" x14ac:dyDescent="0.3">
      <c r="B44" s="30"/>
      <c r="C44" s="48"/>
      <c r="D44" s="49"/>
      <c r="E44" s="22"/>
      <c r="F44" s="50"/>
      <c r="G44" s="22"/>
      <c r="H44" s="23"/>
    </row>
    <row r="45" spans="2:8" s="54" customFormat="1" ht="16.5" thickBot="1" x14ac:dyDescent="0.3">
      <c r="B45" s="2">
        <f>COUNTA(B5:B44)</f>
        <v>33</v>
      </c>
      <c r="C45" s="3"/>
      <c r="D45" s="3">
        <f>SUM(D5:D43)</f>
        <v>30.5</v>
      </c>
      <c r="E45" s="51"/>
      <c r="F45" s="52"/>
      <c r="G45" s="51"/>
      <c r="H45" s="53"/>
    </row>
    <row r="46" spans="2:8" ht="16.5" thickBot="1" x14ac:dyDescent="0.3">
      <c r="D46" s="59" t="s">
        <v>191</v>
      </c>
    </row>
    <row r="47" spans="2:8" ht="15" customHeight="1" x14ac:dyDescent="0.25">
      <c r="E47" s="24" t="s">
        <v>135</v>
      </c>
      <c r="F47" s="87"/>
      <c r="G47" s="25"/>
      <c r="H47" s="26" t="s">
        <v>294</v>
      </c>
    </row>
    <row r="48" spans="2:8" ht="15" customHeight="1" x14ac:dyDescent="0.25">
      <c r="E48" s="27" t="s">
        <v>28</v>
      </c>
      <c r="F48" s="88"/>
      <c r="G48" s="28" t="s">
        <v>29</v>
      </c>
      <c r="H48" s="29"/>
    </row>
    <row r="49" spans="5:8" x14ac:dyDescent="0.25">
      <c r="E49" s="27" t="s">
        <v>31</v>
      </c>
      <c r="F49" s="88"/>
      <c r="G49" s="28" t="s">
        <v>32</v>
      </c>
      <c r="H49" s="29" t="s">
        <v>136</v>
      </c>
    </row>
    <row r="50" spans="5:8" x14ac:dyDescent="0.25">
      <c r="E50" s="27" t="s">
        <v>35</v>
      </c>
      <c r="F50" s="88"/>
      <c r="G50" s="28"/>
      <c r="H50" s="29"/>
    </row>
    <row r="51" spans="5:8" x14ac:dyDescent="0.25">
      <c r="E51" s="27" t="s">
        <v>37</v>
      </c>
      <c r="F51" s="88"/>
      <c r="G51" s="28"/>
      <c r="H51" s="29" t="s">
        <v>137</v>
      </c>
    </row>
    <row r="52" spans="5:8" x14ac:dyDescent="0.25">
      <c r="E52" s="27" t="s">
        <v>39</v>
      </c>
      <c r="F52" s="88"/>
      <c r="G52" s="28"/>
      <c r="H52" s="29" t="s">
        <v>40</v>
      </c>
    </row>
    <row r="53" spans="5:8" ht="15.75" thickBot="1" x14ac:dyDescent="0.3">
      <c r="E53" s="30" t="s">
        <v>295</v>
      </c>
      <c r="F53" s="89"/>
      <c r="G53" s="32"/>
      <c r="H53" s="33"/>
    </row>
    <row r="54" spans="5:8" x14ac:dyDescent="0.25">
      <c r="G54" s="36"/>
    </row>
    <row r="55" spans="5:8" x14ac:dyDescent="0.25">
      <c r="G55" s="36"/>
    </row>
  </sheetData>
  <pageMargins left="0.25" right="0.25" top="0.5" bottom="0.5" header="0.3" footer="0.3"/>
  <pageSetup scale="4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6"/>
  <sheetViews>
    <sheetView tabSelected="1" zoomScaleNormal="100" workbookViewId="0">
      <pane ySplit="3" topLeftCell="A4" activePane="bottomLeft" state="frozenSplit"/>
      <selection activeCell="A2" sqref="A2:XFD2"/>
      <selection pane="bottomLeft" activeCell="E22" sqref="E22"/>
    </sheetView>
  </sheetViews>
  <sheetFormatPr defaultRowHeight="15" x14ac:dyDescent="0.25"/>
  <cols>
    <col min="1" max="1" width="2.5703125" customWidth="1"/>
    <col min="2" max="2" width="11.140625" customWidth="1"/>
    <col min="3" max="3" width="38" customWidth="1"/>
    <col min="4" max="4" width="6.42578125" customWidth="1"/>
    <col min="5" max="5" width="46.85546875" customWidth="1"/>
    <col min="6" max="6" width="19.42578125" customWidth="1"/>
    <col min="7" max="7" width="55.85546875" customWidth="1"/>
    <col min="8" max="8" width="63.42578125" customWidth="1"/>
  </cols>
  <sheetData>
    <row r="1" spans="2:8" x14ac:dyDescent="0.25">
      <c r="B1" s="1" t="s">
        <v>195</v>
      </c>
      <c r="C1" s="1"/>
      <c r="D1" s="1"/>
      <c r="F1" s="1" t="s">
        <v>57</v>
      </c>
    </row>
    <row r="2" spans="2:8" ht="5.25" customHeight="1" thickBot="1" x14ac:dyDescent="0.3"/>
    <row r="3" spans="2:8" s="7" customFormat="1" ht="15.75" thickBot="1" x14ac:dyDescent="0.3">
      <c r="B3" s="2" t="s">
        <v>59</v>
      </c>
      <c r="C3" s="3" t="s">
        <v>60</v>
      </c>
      <c r="D3" s="3" t="s">
        <v>61</v>
      </c>
      <c r="E3" s="4" t="s">
        <v>5</v>
      </c>
      <c r="F3" s="4" t="s">
        <v>62</v>
      </c>
      <c r="G3" s="5" t="s">
        <v>6</v>
      </c>
      <c r="H3" s="6" t="s">
        <v>7</v>
      </c>
    </row>
    <row r="4" spans="2:8" ht="6.75" customHeight="1" thickBot="1" x14ac:dyDescent="0.3"/>
    <row r="5" spans="2:8" ht="15" customHeight="1" x14ac:dyDescent="0.25">
      <c r="B5" s="37"/>
      <c r="C5" s="100" t="s">
        <v>330</v>
      </c>
      <c r="D5" s="73"/>
      <c r="E5" s="11"/>
      <c r="F5" s="11"/>
      <c r="G5" s="11"/>
      <c r="H5" s="74"/>
    </row>
    <row r="6" spans="2:8" ht="15" customHeight="1" x14ac:dyDescent="0.25">
      <c r="B6" s="72" t="s">
        <v>73</v>
      </c>
      <c r="C6" s="75" t="s">
        <v>331</v>
      </c>
      <c r="D6" s="101">
        <v>1</v>
      </c>
      <c r="E6" s="40" t="s">
        <v>196</v>
      </c>
      <c r="F6" s="40"/>
      <c r="G6" s="40" t="s">
        <v>197</v>
      </c>
      <c r="H6" s="41" t="s">
        <v>258</v>
      </c>
    </row>
    <row r="7" spans="2:8" ht="15" customHeight="1" x14ac:dyDescent="0.25">
      <c r="B7" s="27" t="s">
        <v>87</v>
      </c>
      <c r="C7" s="75" t="s">
        <v>332</v>
      </c>
      <c r="D7" s="102">
        <v>0.5</v>
      </c>
      <c r="E7" s="15" t="s">
        <v>198</v>
      </c>
      <c r="F7" s="15"/>
      <c r="G7" s="15" t="s">
        <v>197</v>
      </c>
      <c r="H7" s="16" t="s">
        <v>258</v>
      </c>
    </row>
    <row r="8" spans="2:8" ht="15" customHeight="1" x14ac:dyDescent="0.25">
      <c r="B8" s="27" t="s">
        <v>199</v>
      </c>
      <c r="C8" s="75" t="s">
        <v>333</v>
      </c>
      <c r="D8" s="102">
        <v>0.5</v>
      </c>
      <c r="E8" s="15" t="s">
        <v>200</v>
      </c>
      <c r="F8" s="15"/>
      <c r="G8" s="15" t="s">
        <v>197</v>
      </c>
      <c r="H8" s="16" t="s">
        <v>258</v>
      </c>
    </row>
    <row r="9" spans="2:8" ht="15" customHeight="1" x14ac:dyDescent="0.25">
      <c r="B9" s="27" t="s">
        <v>201</v>
      </c>
      <c r="C9" s="75" t="s">
        <v>334</v>
      </c>
      <c r="D9" s="102">
        <v>0.125</v>
      </c>
      <c r="E9" s="15" t="s">
        <v>202</v>
      </c>
      <c r="F9" s="15"/>
      <c r="G9" s="15"/>
      <c r="H9" s="16" t="s">
        <v>258</v>
      </c>
    </row>
    <row r="10" spans="2:8" ht="15" customHeight="1" x14ac:dyDescent="0.25">
      <c r="B10" s="27" t="s">
        <v>89</v>
      </c>
      <c r="C10" s="75" t="s">
        <v>335</v>
      </c>
      <c r="D10" s="102">
        <v>0.125</v>
      </c>
      <c r="E10" s="15" t="s">
        <v>203</v>
      </c>
      <c r="F10" s="15"/>
      <c r="G10" s="15" t="s">
        <v>197</v>
      </c>
      <c r="H10" s="16" t="s">
        <v>258</v>
      </c>
    </row>
    <row r="11" spans="2:8" ht="15" customHeight="1" x14ac:dyDescent="0.25">
      <c r="B11" s="27" t="s">
        <v>93</v>
      </c>
      <c r="C11" s="75" t="s">
        <v>336</v>
      </c>
      <c r="D11" s="102">
        <v>0.125</v>
      </c>
      <c r="E11" s="15" t="s">
        <v>204</v>
      </c>
      <c r="F11" s="15"/>
      <c r="G11" s="15" t="s">
        <v>197</v>
      </c>
      <c r="H11" s="16" t="s">
        <v>258</v>
      </c>
    </row>
    <row r="12" spans="2:8" ht="15" customHeight="1" x14ac:dyDescent="0.25">
      <c r="B12" s="27" t="s">
        <v>94</v>
      </c>
      <c r="C12" s="75" t="s">
        <v>337</v>
      </c>
      <c r="D12" s="102">
        <v>0.125</v>
      </c>
      <c r="E12" s="15" t="s">
        <v>205</v>
      </c>
      <c r="F12" s="15"/>
      <c r="G12" s="15" t="s">
        <v>197</v>
      </c>
      <c r="H12" s="16" t="s">
        <v>258</v>
      </c>
    </row>
    <row r="13" spans="2:8" ht="15" customHeight="1" x14ac:dyDescent="0.25">
      <c r="B13" s="27" t="s">
        <v>206</v>
      </c>
      <c r="C13" s="75" t="s">
        <v>338</v>
      </c>
      <c r="D13" s="102">
        <v>0.125</v>
      </c>
      <c r="E13" s="15" t="s">
        <v>207</v>
      </c>
      <c r="F13" s="15"/>
      <c r="G13" s="15"/>
      <c r="H13" s="16" t="s">
        <v>208</v>
      </c>
    </row>
    <row r="14" spans="2:8" ht="15" customHeight="1" x14ac:dyDescent="0.25">
      <c r="B14" s="27" t="s">
        <v>209</v>
      </c>
      <c r="C14" s="75" t="s">
        <v>339</v>
      </c>
      <c r="D14" s="102">
        <v>0.125</v>
      </c>
      <c r="E14" s="15" t="s">
        <v>210</v>
      </c>
      <c r="F14" s="15"/>
      <c r="G14" s="15"/>
      <c r="H14" s="16" t="s">
        <v>211</v>
      </c>
    </row>
    <row r="15" spans="2:8" ht="15" customHeight="1" x14ac:dyDescent="0.25">
      <c r="B15" s="27" t="s">
        <v>212</v>
      </c>
      <c r="C15" s="75" t="s">
        <v>340</v>
      </c>
      <c r="D15" s="102">
        <v>0.125</v>
      </c>
      <c r="E15" s="15" t="s">
        <v>213</v>
      </c>
      <c r="F15" s="15"/>
      <c r="G15" s="15"/>
      <c r="H15" s="16" t="s">
        <v>214</v>
      </c>
    </row>
    <row r="16" spans="2:8" ht="15" customHeight="1" x14ac:dyDescent="0.25">
      <c r="B16" s="27" t="s">
        <v>215</v>
      </c>
      <c r="C16" s="75" t="s">
        <v>341</v>
      </c>
      <c r="D16" s="102">
        <v>0.125</v>
      </c>
      <c r="E16" s="15" t="s">
        <v>216</v>
      </c>
      <c r="F16" s="15"/>
      <c r="G16" s="15"/>
      <c r="H16" s="16" t="s">
        <v>97</v>
      </c>
    </row>
    <row r="17" spans="2:8" ht="15" customHeight="1" x14ac:dyDescent="0.25">
      <c r="B17" s="27"/>
      <c r="C17" s="76"/>
      <c r="D17" s="102"/>
      <c r="E17" s="15"/>
      <c r="F17" s="15"/>
      <c r="G17" s="15"/>
      <c r="H17" s="16"/>
    </row>
    <row r="18" spans="2:8" ht="15" customHeight="1" x14ac:dyDescent="0.25">
      <c r="B18" s="27" t="s">
        <v>118</v>
      </c>
      <c r="C18" s="75" t="s">
        <v>348</v>
      </c>
      <c r="D18" s="102">
        <v>0.25</v>
      </c>
      <c r="E18" s="15" t="s">
        <v>217</v>
      </c>
      <c r="F18" s="15"/>
      <c r="G18" s="15" t="s">
        <v>197</v>
      </c>
      <c r="H18" s="16" t="s">
        <v>258</v>
      </c>
    </row>
    <row r="19" spans="2:8" ht="15" customHeight="1" x14ac:dyDescent="0.25">
      <c r="B19" s="27" t="s">
        <v>120</v>
      </c>
      <c r="C19" s="75" t="s">
        <v>349</v>
      </c>
      <c r="D19" s="102">
        <v>0.25</v>
      </c>
      <c r="E19" s="15" t="s">
        <v>218</v>
      </c>
      <c r="F19" s="15"/>
      <c r="G19" s="15" t="s">
        <v>197</v>
      </c>
      <c r="H19" s="16" t="s">
        <v>258</v>
      </c>
    </row>
    <row r="20" spans="2:8" ht="15" customHeight="1" x14ac:dyDescent="0.25">
      <c r="B20" s="27"/>
      <c r="C20" s="76"/>
      <c r="D20" s="102"/>
      <c r="E20" s="15"/>
      <c r="F20" s="15"/>
      <c r="G20" s="15"/>
      <c r="H20" s="16"/>
    </row>
    <row r="21" spans="2:8" ht="15" customHeight="1" x14ac:dyDescent="0.25">
      <c r="B21" s="27" t="s">
        <v>232</v>
      </c>
      <c r="C21" s="75" t="s">
        <v>342</v>
      </c>
      <c r="D21" s="102">
        <v>0.125</v>
      </c>
      <c r="E21" s="15" t="s">
        <v>233</v>
      </c>
      <c r="F21" s="15"/>
      <c r="G21" s="15" t="s">
        <v>234</v>
      </c>
      <c r="H21" s="16" t="s">
        <v>235</v>
      </c>
    </row>
    <row r="22" spans="2:8" ht="15" customHeight="1" x14ac:dyDescent="0.25">
      <c r="B22" s="60" t="s">
        <v>236</v>
      </c>
      <c r="C22" s="75" t="s">
        <v>342</v>
      </c>
      <c r="D22" s="102">
        <v>0.125</v>
      </c>
      <c r="E22" s="15" t="s">
        <v>233</v>
      </c>
      <c r="F22" s="47"/>
      <c r="G22" s="18" t="s">
        <v>237</v>
      </c>
      <c r="H22" s="16" t="s">
        <v>230</v>
      </c>
    </row>
    <row r="23" spans="2:8" ht="15" customHeight="1" x14ac:dyDescent="0.25">
      <c r="B23" s="27" t="s">
        <v>103</v>
      </c>
      <c r="C23" s="75" t="s">
        <v>342</v>
      </c>
      <c r="D23" s="102">
        <v>0.125</v>
      </c>
      <c r="E23" s="15" t="s">
        <v>219</v>
      </c>
      <c r="F23" s="15"/>
      <c r="G23" s="15" t="s">
        <v>220</v>
      </c>
      <c r="H23" s="16" t="s">
        <v>221</v>
      </c>
    </row>
    <row r="24" spans="2:8" ht="15" customHeight="1" x14ac:dyDescent="0.25">
      <c r="B24" s="27" t="s">
        <v>116</v>
      </c>
      <c r="C24" s="75" t="s">
        <v>342</v>
      </c>
      <c r="D24" s="102">
        <v>0.125</v>
      </c>
      <c r="E24" s="15" t="s">
        <v>222</v>
      </c>
      <c r="F24" s="15"/>
      <c r="G24" s="15" t="s">
        <v>223</v>
      </c>
      <c r="H24" s="16" t="s">
        <v>221</v>
      </c>
    </row>
    <row r="25" spans="2:8" ht="15" customHeight="1" x14ac:dyDescent="0.25">
      <c r="B25" s="27"/>
      <c r="C25" s="77"/>
      <c r="D25" s="102"/>
      <c r="E25" s="15"/>
      <c r="F25" s="15"/>
      <c r="G25" s="15"/>
      <c r="H25" s="16"/>
    </row>
    <row r="26" spans="2:8" ht="15" customHeight="1" x14ac:dyDescent="0.25">
      <c r="B26" s="60" t="s">
        <v>302</v>
      </c>
      <c r="C26" s="75" t="s">
        <v>343</v>
      </c>
      <c r="D26" s="103"/>
      <c r="E26" s="18"/>
      <c r="F26" s="47"/>
      <c r="G26" s="18"/>
      <c r="H26" s="19"/>
    </row>
    <row r="27" spans="2:8" ht="15" customHeight="1" x14ac:dyDescent="0.25">
      <c r="B27" s="27" t="s">
        <v>226</v>
      </c>
      <c r="C27" s="77" t="s">
        <v>347</v>
      </c>
      <c r="D27" s="102">
        <v>1</v>
      </c>
      <c r="E27" s="15" t="s">
        <v>227</v>
      </c>
      <c r="F27" s="15"/>
      <c r="G27" s="15"/>
      <c r="H27" s="16" t="s">
        <v>301</v>
      </c>
    </row>
    <row r="28" spans="2:8" ht="15" customHeight="1" x14ac:dyDescent="0.25">
      <c r="B28" s="27"/>
      <c r="C28" s="77"/>
      <c r="D28" s="102"/>
      <c r="E28" s="15"/>
      <c r="F28" s="15"/>
      <c r="G28" s="15"/>
      <c r="H28" s="16"/>
    </row>
    <row r="29" spans="2:8" ht="15" customHeight="1" x14ac:dyDescent="0.25">
      <c r="B29" s="27" t="s">
        <v>76</v>
      </c>
      <c r="C29" s="77" t="s">
        <v>344</v>
      </c>
      <c r="D29" s="102">
        <v>0.5</v>
      </c>
      <c r="E29" s="15" t="s">
        <v>228</v>
      </c>
      <c r="F29" s="15"/>
      <c r="G29" s="15" t="s">
        <v>229</v>
      </c>
      <c r="H29" s="16" t="s">
        <v>230</v>
      </c>
    </row>
    <row r="30" spans="2:8" ht="15" customHeight="1" x14ac:dyDescent="0.25">
      <c r="B30" s="27" t="s">
        <v>81</v>
      </c>
      <c r="C30" s="77" t="s">
        <v>345</v>
      </c>
      <c r="D30" s="102">
        <v>0.5</v>
      </c>
      <c r="E30" s="15" t="s">
        <v>228</v>
      </c>
      <c r="F30" s="15"/>
      <c r="G30" s="15" t="s">
        <v>231</v>
      </c>
      <c r="H30" s="16" t="s">
        <v>230</v>
      </c>
    </row>
    <row r="31" spans="2:8" ht="15" customHeight="1" x14ac:dyDescent="0.25">
      <c r="B31" s="60"/>
      <c r="C31" s="77" t="s">
        <v>346</v>
      </c>
      <c r="D31" s="102">
        <v>1</v>
      </c>
      <c r="E31" s="61"/>
      <c r="F31" s="61" t="s">
        <v>239</v>
      </c>
      <c r="G31" s="18"/>
      <c r="H31" s="16"/>
    </row>
    <row r="32" spans="2:8" ht="15" customHeight="1" x14ac:dyDescent="0.25">
      <c r="B32" s="60"/>
      <c r="C32" s="77" t="s">
        <v>330</v>
      </c>
      <c r="D32" s="103"/>
      <c r="E32" s="18"/>
      <c r="F32" s="18" t="s">
        <v>238</v>
      </c>
      <c r="G32" s="18"/>
      <c r="H32" s="16"/>
    </row>
    <row r="33" spans="2:8" ht="15" customHeight="1" x14ac:dyDescent="0.25">
      <c r="B33" s="27" t="s">
        <v>224</v>
      </c>
      <c r="C33" s="77"/>
      <c r="D33" s="102"/>
      <c r="E33" s="15" t="s">
        <v>225</v>
      </c>
      <c r="F33" s="15"/>
      <c r="G33" s="15"/>
      <c r="H33" s="16" t="s">
        <v>300</v>
      </c>
    </row>
    <row r="34" spans="2:8" ht="15.75" thickBot="1" x14ac:dyDescent="0.3">
      <c r="B34" s="30"/>
      <c r="C34" s="31"/>
      <c r="D34" s="49"/>
      <c r="E34" s="22"/>
      <c r="F34" s="50"/>
      <c r="G34" s="22"/>
      <c r="H34" s="23"/>
    </row>
    <row r="35" spans="2:8" s="54" customFormat="1" ht="16.5" thickBot="1" x14ac:dyDescent="0.3">
      <c r="B35" s="68">
        <f>COUNTA(B6:B34)</f>
        <v>22</v>
      </c>
      <c r="C35" s="67"/>
      <c r="D35" s="99">
        <f>SUM(D6:D31)</f>
        <v>7</v>
      </c>
      <c r="E35" s="69"/>
      <c r="F35" s="52"/>
      <c r="G35" s="51"/>
      <c r="H35" s="53"/>
    </row>
    <row r="36" spans="2:8" ht="16.5" thickBot="1" x14ac:dyDescent="0.3">
      <c r="D36" s="59" t="s">
        <v>192</v>
      </c>
    </row>
    <row r="37" spans="2:8" ht="15" customHeight="1" x14ac:dyDescent="0.25">
      <c r="E37" s="24" t="s">
        <v>296</v>
      </c>
      <c r="F37" s="87"/>
      <c r="G37" s="25"/>
      <c r="H37" s="26" t="s">
        <v>294</v>
      </c>
    </row>
    <row r="38" spans="2:8" ht="15" customHeight="1" x14ac:dyDescent="0.25">
      <c r="E38" s="27" t="s">
        <v>28</v>
      </c>
      <c r="F38" s="88"/>
      <c r="G38" s="28" t="s">
        <v>29</v>
      </c>
      <c r="H38" s="29"/>
    </row>
    <row r="39" spans="2:8" x14ac:dyDescent="0.25">
      <c r="E39" s="27" t="s">
        <v>31</v>
      </c>
      <c r="F39" s="88"/>
      <c r="G39" s="28" t="s">
        <v>32</v>
      </c>
      <c r="H39" s="29" t="s">
        <v>136</v>
      </c>
    </row>
    <row r="40" spans="2:8" x14ac:dyDescent="0.25">
      <c r="E40" s="27" t="s">
        <v>35</v>
      </c>
      <c r="F40" s="88"/>
      <c r="G40" s="28"/>
      <c r="H40" s="29"/>
    </row>
    <row r="41" spans="2:8" x14ac:dyDescent="0.25">
      <c r="E41" s="27" t="s">
        <v>37</v>
      </c>
      <c r="F41" s="88"/>
      <c r="G41" s="28"/>
      <c r="H41" s="29" t="s">
        <v>137</v>
      </c>
    </row>
    <row r="42" spans="2:8" x14ac:dyDescent="0.25">
      <c r="E42" s="27" t="s">
        <v>39</v>
      </c>
      <c r="F42" s="88"/>
      <c r="G42" s="28"/>
      <c r="H42" s="29" t="s">
        <v>40</v>
      </c>
    </row>
    <row r="43" spans="2:8" ht="15.75" thickBot="1" x14ac:dyDescent="0.3">
      <c r="E43" s="30" t="s">
        <v>295</v>
      </c>
      <c r="F43" s="89"/>
      <c r="G43" s="32"/>
      <c r="H43" s="33"/>
    </row>
    <row r="44" spans="2:8" x14ac:dyDescent="0.25">
      <c r="E44" s="96"/>
      <c r="F44" s="96"/>
      <c r="G44" s="97"/>
      <c r="H44" s="96"/>
    </row>
    <row r="45" spans="2:8" x14ac:dyDescent="0.25">
      <c r="G45" s="36"/>
    </row>
    <row r="46" spans="2:8" x14ac:dyDescent="0.25">
      <c r="G46" s="36"/>
    </row>
  </sheetData>
  <pageMargins left="0.25" right="0.25" top="0.5" bottom="0.5" header="0.3" footer="0.3"/>
  <pageSetup scale="4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Formats &amp; modes</vt:lpstr>
      <vt:lpstr>1 byte inst</vt:lpstr>
      <vt:lpstr>2 byte inst</vt:lpstr>
      <vt:lpstr>3 operand inst</vt:lpstr>
      <vt:lpstr>'1 byte inst'!Print_Area</vt:lpstr>
      <vt:lpstr>'2 byte inst'!Print_Area</vt:lpstr>
      <vt:lpstr>'3 operand inst'!Print_Area</vt:lpstr>
      <vt:lpstr>'Formats &amp; modes'!Print_Area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Brakefield</dc:creator>
  <cp:lastModifiedBy>James Brakefield</cp:lastModifiedBy>
  <dcterms:created xsi:type="dcterms:W3CDTF">2023-04-24T22:55:05Z</dcterms:created>
  <dcterms:modified xsi:type="dcterms:W3CDTF">2023-07-19T07:58:24Z</dcterms:modified>
</cp:coreProperties>
</file>