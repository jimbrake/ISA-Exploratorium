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unique projects" sheetId="1" r:id="rId1"/>
    <sheet name="ISA categories" sheetId="4" r:id="rId2"/>
    <sheet name="ISA idea history" sheetId="5" r:id="rId3"/>
    <sheet name="with multiple runs" sheetId="6" r:id="rId4"/>
  </sheets>
  <calcPr calcId="145621"/>
</workbook>
</file>

<file path=xl/calcChain.xml><?xml version="1.0" encoding="utf-8"?>
<calcChain xmlns="http://schemas.openxmlformats.org/spreadsheetml/2006/main">
  <c r="K34" i="1" l="1"/>
  <c r="AF34" i="6" l="1"/>
  <c r="AE34" i="6"/>
  <c r="AD34" i="6"/>
  <c r="AA34" i="6"/>
  <c r="R34" i="6"/>
  <c r="J34" i="6"/>
  <c r="I34" i="6"/>
  <c r="H34" i="6"/>
  <c r="G34" i="6"/>
  <c r="E34" i="6"/>
  <c r="AC30" i="6"/>
  <c r="AC29" i="6"/>
  <c r="AC19" i="6"/>
  <c r="AC17" i="6"/>
  <c r="AC14" i="6"/>
  <c r="AC13" i="6"/>
  <c r="AC11" i="6"/>
  <c r="AC10" i="6"/>
  <c r="AC9" i="6"/>
  <c r="AC34" i="6" s="1"/>
  <c r="AC8" i="6"/>
  <c r="AC7" i="6"/>
  <c r="R34" i="1"/>
  <c r="AF34" i="1"/>
  <c r="H34" i="1"/>
  <c r="AC30" i="1" l="1"/>
  <c r="E34" i="1" l="1"/>
  <c r="AA34" i="1" l="1"/>
  <c r="AD34" i="1"/>
  <c r="AE34" i="1"/>
  <c r="G34" i="1"/>
  <c r="I34" i="1"/>
  <c r="J34" i="1"/>
  <c r="AC13" i="1" l="1"/>
  <c r="AC14" i="1"/>
  <c r="AC29" i="1"/>
  <c r="AC17" i="1" l="1"/>
  <c r="AC19" i="1"/>
  <c r="AC11" i="1"/>
  <c r="AC10" i="1"/>
  <c r="AC9" i="1"/>
  <c r="AC7" i="1"/>
  <c r="AC8" i="1"/>
  <c r="AC34" i="1" l="1"/>
</calcChain>
</file>

<file path=xl/sharedStrings.xml><?xml version="1.0" encoding="utf-8"?>
<sst xmlns="http://schemas.openxmlformats.org/spreadsheetml/2006/main" count="958" uniqueCount="300">
  <si>
    <t>James Brakefield</t>
  </si>
  <si>
    <t>name</t>
  </si>
  <si>
    <t>start date</t>
  </si>
  <si>
    <t>last date</t>
  </si>
  <si>
    <t>docx</t>
  </si>
  <si>
    <t>xlsx</t>
  </si>
  <si>
    <t>RTL</t>
  </si>
  <si>
    <t>LUTs</t>
  </si>
  <si>
    <t>DFFs</t>
  </si>
  <si>
    <t>DSPs</t>
  </si>
  <si>
    <t>Block rams</t>
  </si>
  <si>
    <t>test bench</t>
  </si>
  <si>
    <t>comments</t>
  </si>
  <si>
    <t>type</t>
  </si>
  <si>
    <t>FPGA part</t>
  </si>
  <si>
    <t>project name</t>
  </si>
  <si>
    <t>TB pass</t>
  </si>
  <si>
    <t>run date</t>
  </si>
  <si>
    <t>aliases</t>
  </si>
  <si>
    <t>FPGA tool</t>
  </si>
  <si>
    <t>Fmax</t>
  </si>
  <si>
    <t>FOM</t>
  </si>
  <si>
    <t>BCD</t>
  </si>
  <si>
    <t>variable length BCD arithmetic, coprocessor</t>
  </si>
  <si>
    <t>uP categories</t>
  </si>
  <si>
    <t>ALT</t>
  </si>
  <si>
    <t>LEM</t>
  </si>
  <si>
    <t>OOSM</t>
  </si>
  <si>
    <t>TROC</t>
  </si>
  <si>
    <t>Logic Emulation Machine</t>
  </si>
  <si>
    <t>One Operand Stack Machine</t>
  </si>
  <si>
    <t>Tagged ROC</t>
  </si>
  <si>
    <t>Register Oriented Instruction Set, Reg Or'td Computer</t>
  </si>
  <si>
    <t>eval</t>
  </si>
  <si>
    <t>bus. case</t>
  </si>
  <si>
    <t>variable length radix100 arithmetic, coprocessor</t>
  </si>
  <si>
    <t>1OSM24_3sz</t>
  </si>
  <si>
    <t>12X_uP</t>
  </si>
  <si>
    <t>ALT11</t>
  </si>
  <si>
    <t>ALT430</t>
  </si>
  <si>
    <t>ALT780</t>
  </si>
  <si>
    <t>ALT1604</t>
  </si>
  <si>
    <t>ALTx86</t>
  </si>
  <si>
    <t>LEM1_9</t>
  </si>
  <si>
    <t>LEM1_9min</t>
  </si>
  <si>
    <t>LEM1_9ptr</t>
  </si>
  <si>
    <t>LEM4_9</t>
  </si>
  <si>
    <t>LEM4_9ptr</t>
  </si>
  <si>
    <t>LEM16_18</t>
  </si>
  <si>
    <t>quadISA</t>
  </si>
  <si>
    <t>ROC32_8</t>
  </si>
  <si>
    <t>ROIS24_3sz</t>
  </si>
  <si>
    <t>ROIS24_24</t>
  </si>
  <si>
    <t>TROC24</t>
  </si>
  <si>
    <t>alta</t>
  </si>
  <si>
    <t>accum</t>
  </si>
  <si>
    <t>maoc</t>
  </si>
  <si>
    <t>stack</t>
  </si>
  <si>
    <t>RISC</t>
  </si>
  <si>
    <t>stack, accum, risc, cisc with hardware macros</t>
  </si>
  <si>
    <t>Documentation Events (earliest dates)</t>
  </si>
  <si>
    <t>date</t>
  </si>
  <si>
    <t>event</t>
  </si>
  <si>
    <t>where</t>
  </si>
  <si>
    <t>description</t>
  </si>
  <si>
    <t>short description</t>
  </si>
  <si>
    <t>acc18_18</t>
  </si>
  <si>
    <t>hay4stk</t>
  </si>
  <si>
    <t>radix10 ISA</t>
  </si>
  <si>
    <t>p145 comp bk1</t>
  </si>
  <si>
    <t>meaning of non-decimal digits</t>
  </si>
  <si>
    <t>p007 comp bk2</t>
  </si>
  <si>
    <t>unbiased von-neumann rounding</t>
  </si>
  <si>
    <t>fltg-pt taper diagram</t>
  </si>
  <si>
    <t>p006 comp bk2</t>
  </si>
  <si>
    <t>BCD ISA with dedicated pointer registers</t>
  </si>
  <si>
    <t>p007B-10B comp bk2</t>
  </si>
  <si>
    <t>radix100 ISA</t>
  </si>
  <si>
    <t>p011-12B comp bk2</t>
  </si>
  <si>
    <t>3 digit BCD to 10-bit binary addressing</t>
  </si>
  <si>
    <t>p014 comp bk2</t>
  </si>
  <si>
    <t>instructions &amp; addressing modes</t>
  </si>
  <si>
    <t>alt430</t>
  </si>
  <si>
    <t>p013-13B comp bk2</t>
  </si>
  <si>
    <t>5 adr modes + (Imm-abs-sp-lk)</t>
  </si>
  <si>
    <t>FPGA NN sim</t>
  </si>
  <si>
    <t>p014B comp bk2</t>
  </si>
  <si>
    <t>design numbers &amp; implementation</t>
  </si>
  <si>
    <t>LEM ISA</t>
  </si>
  <si>
    <t>low duty cycle logic mechanism</t>
  </si>
  <si>
    <t>Alt754</t>
  </si>
  <si>
    <t>p020-20B comp bk2</t>
  </si>
  <si>
    <t>uCAN</t>
  </si>
  <si>
    <t>CAN type bus for uP to uP comm</t>
  </si>
  <si>
    <t>p023-24B comp bk2</t>
  </si>
  <si>
    <t>$10 uP kit</t>
  </si>
  <si>
    <t>p032 comp bk2</t>
  </si>
  <si>
    <t>free stocking stuffer for EE kids</t>
  </si>
  <si>
    <t>schematic-&gt; vhdl</t>
  </si>
  <si>
    <t>schematic2vhdl</t>
  </si>
  <si>
    <t>OOSM ISA</t>
  </si>
  <si>
    <t>p033 comp bk2</t>
  </si>
  <si>
    <t>part of variable length operand/result uP</t>
  </si>
  <si>
    <t>precedence parsing</t>
  </si>
  <si>
    <t>p033B comp bk2</t>
  </si>
  <si>
    <t>two sided precedence parsing</t>
  </si>
  <si>
    <t>DSIC ISA</t>
  </si>
  <si>
    <t>p036B-38 comp bk2</t>
  </si>
  <si>
    <t>HayStk ISA</t>
  </si>
  <si>
    <t>p039-39B comp bk2</t>
  </si>
  <si>
    <t>12X ISA</t>
  </si>
  <si>
    <t>p045B comp bk2</t>
  </si>
  <si>
    <t>idea date</t>
  </si>
  <si>
    <t>cisc</t>
  </si>
  <si>
    <t>BROCC ISA</t>
  </si>
  <si>
    <t>uP_log</t>
  </si>
  <si>
    <t>uses blcok RAM for stacks</t>
  </si>
  <si>
    <t>(Block RAM Oriented Concatenative Computer)</t>
  </si>
  <si>
    <t>ALT11 ISA</t>
  </si>
  <si>
    <t>alias ASTOC11</t>
  </si>
  <si>
    <t>Alt-Zoo</t>
  </si>
  <si>
    <t xml:space="preserve">alt11, alt430, alt780, alt-stack, alt-belt, alt-risc, alt-BCD, </t>
  </si>
  <si>
    <t>ASTOC11, STOC11</t>
  </si>
  <si>
    <t>Brakefield, J.C.  1975.  Aspects of computer architecture.  IEEE Computer Society Repository, R-75-286.</t>
  </si>
  <si>
    <t>IEEE repository</t>
  </si>
  <si>
    <t>Aspects of computer architecture</t>
  </si>
  <si>
    <t>uP ideas</t>
  </si>
  <si>
    <t>patent filed</t>
  </si>
  <si>
    <t>USPTO</t>
  </si>
  <si>
    <t>rounding, gradual under/overflow mech</t>
  </si>
  <si>
    <t>Method and Appratus for Handling Overflow and Underflow in Processing Floating-Point Numbers</t>
  </si>
  <si>
    <t>jimbrake/lem1_9min</t>
  </si>
  <si>
    <t>name changed to TROC, no 16-bit instructions</t>
  </si>
  <si>
    <t>jimbrake/ROC32_8</t>
  </si>
  <si>
    <t>jimbrake/ASTOC11</t>
  </si>
  <si>
    <t>astoc, stoc11, 1osm</t>
  </si>
  <si>
    <t>jimbrake/HEllo-Ljorld</t>
  </si>
  <si>
    <t>_all_projects/2000_quadISA</t>
  </si>
  <si>
    <t>_all_projects/2016_ALT_430</t>
  </si>
  <si>
    <t>_all_projects/2018_ALT_780</t>
  </si>
  <si>
    <t>_all_projects/2018_ALT_x86</t>
  </si>
  <si>
    <t>_all_projects/2024_TROC16, jimbrake/TROC16_16</t>
  </si>
  <si>
    <t>github locations</t>
  </si>
  <si>
    <t>TB</t>
  </si>
  <si>
    <t>QuadISA</t>
  </si>
  <si>
    <t>MAOC</t>
  </si>
  <si>
    <t>Multi-Accumulator Oriented Computer, most ALT designs</t>
  </si>
  <si>
    <t>legacy uP upgrades often multi-accumulator ISA</t>
  </si>
  <si>
    <t>includes alt_1604 and LEMs</t>
  </si>
  <si>
    <t>var len</t>
  </si>
  <si>
    <t>tag'd RISC</t>
  </si>
  <si>
    <t>class / family name</t>
  </si>
  <si>
    <t>ROIS-ROC</t>
  </si>
  <si>
    <t>uploaded uPs By Project Name</t>
  </si>
  <si>
    <t>Y</t>
  </si>
  <si>
    <t>hardware macro facility, no detailed ISA xlsx</t>
  </si>
  <si>
    <t>OOSM &amp; ALT-11 co-developed, later diverged</t>
  </si>
  <si>
    <t>V25.1</t>
  </si>
  <si>
    <t>S-7</t>
  </si>
  <si>
    <t>TB runs, not verified</t>
  </si>
  <si>
    <t>troc16_hwa</t>
  </si>
  <si>
    <t>ns</t>
  </si>
  <si>
    <t>TROC16 basic</t>
  </si>
  <si>
    <t>TROC16 full</t>
  </si>
  <si>
    <t>ROIS24_min</t>
  </si>
  <si>
    <t>std FOM</t>
  </si>
  <si>
    <t>DSP</t>
  </si>
  <si>
    <t>TB OK</t>
  </si>
  <si>
    <t>wd sz adj</t>
  </si>
  <si>
    <t>clks/ inst</t>
  </si>
  <si>
    <t>v25.1</t>
  </si>
  <si>
    <t>no cond branch, no subroutines</t>
  </si>
  <si>
    <t>cond branch, subroutines</t>
  </si>
  <si>
    <t>cond branch, subroutines, mem pointers</t>
  </si>
  <si>
    <t>_jcp_uP/LEM/lem16_18M</t>
  </si>
  <si>
    <t>ISE</t>
  </si>
  <si>
    <t>S-3</t>
  </si>
  <si>
    <t>K-7</t>
  </si>
  <si>
    <t>lem16_18m</t>
  </si>
  <si>
    <t>hay4stk16_32</t>
  </si>
  <si>
    <t>inst sz</t>
  </si>
  <si>
    <t>data sz</t>
  </si>
  <si>
    <t>adr modes</t>
  </si>
  <si>
    <t>v8</t>
  </si>
  <si>
    <t>v4</t>
  </si>
  <si>
    <t>RISC + bit field ops</t>
  </si>
  <si>
    <t>instruction size codes</t>
  </si>
  <si>
    <t>data size codes</t>
  </si>
  <si>
    <t>register sz</t>
  </si>
  <si>
    <t>address sz</t>
  </si>
  <si>
    <t>addressing modes</t>
  </si>
  <si>
    <t>8-16-24: 3a</t>
  </si>
  <si>
    <t>3a</t>
  </si>
  <si>
    <t>3A</t>
  </si>
  <si>
    <t>data types</t>
  </si>
  <si>
    <t>9-18: 2A,  8-24-32: 3B</t>
  </si>
  <si>
    <t>U: unsigned,2's complement, 1's complement, sm: sign-magnitude, bf: basic float, tf: tapered float, T: takum, fln: fixed point log</t>
  </si>
  <si>
    <t>I: immediate, vI: variable length immediate, r: relative, a: absolute,bi: base+offset, br: base+register, bx: base+index</t>
  </si>
  <si>
    <t>u2f</t>
  </si>
  <si>
    <t>u2</t>
  </si>
  <si>
    <t>u2fl</t>
  </si>
  <si>
    <t>FPGA bd OK</t>
  </si>
  <si>
    <t>k-7</t>
  </si>
  <si>
    <t>the12X_12uP</t>
  </si>
  <si>
    <t>early OOSM, probably not be complete?</t>
  </si>
  <si>
    <t>LEM8_9</t>
  </si>
  <si>
    <t>lem8_9</t>
  </si>
  <si>
    <t>V-5</t>
  </si>
  <si>
    <t>pipeline version</t>
  </si>
  <si>
    <t>non-pipeline version</t>
  </si>
  <si>
    <t>BCD1</t>
  </si>
  <si>
    <t>BCD2</t>
  </si>
  <si>
    <t>BCD_two, radix100</t>
  </si>
  <si>
    <t>ALT1620, radix10</t>
  </si>
  <si>
    <t>Column sums</t>
  </si>
  <si>
    <t>1OSM16_3sz</t>
  </si>
  <si>
    <t>BROOCC</t>
  </si>
  <si>
    <t>V25.2</t>
  </si>
  <si>
    <t>year prefix</t>
  </si>
  <si>
    <t>formal doc</t>
  </si>
  <si>
    <t>abrev docx</t>
  </si>
  <si>
    <t>RTL probably incomplete</t>
  </si>
  <si>
    <t>RTL incomplete</t>
  </si>
  <si>
    <t>needs review as to implementation status</t>
  </si>
  <si>
    <t>ISA_Exploratorium</t>
  </si>
  <si>
    <t>github/jimbrake</t>
  </si>
  <si>
    <t>26 ISAs from 1999 to 2025</t>
  </si>
  <si>
    <t>Everything I have on each design/project, curated: pruned &amp; verified</t>
  </si>
  <si>
    <t>WIP</t>
  </si>
  <si>
    <t>fltg-pt paper</t>
  </si>
  <si>
    <t>_alt754</t>
  </si>
  <si>
    <t>implroved flaoting-point terminology</t>
  </si>
  <si>
    <t>Jim &amp; Wenbin paper, defines half-bit, mantissa &amp; residue</t>
  </si>
  <si>
    <t>Takum arithmetic</t>
  </si>
  <si>
    <t>CONGA2024</t>
  </si>
  <si>
    <t>754 &amp; gradual underflow &amp; large exponent range obsolete, sqrt( e) optimal for fixed point logs</t>
  </si>
  <si>
    <t>Hunhold &amp; Justafson 2024 &amp; 205 papers/book</t>
  </si>
  <si>
    <t>ROC16 talk</t>
  </si>
  <si>
    <t>started 16-bit TROC 11/8/2024</t>
  </si>
  <si>
    <t>TROC24 has both docx &amp; xlsx descriptions, looking for "min" version leads to troc16 ISA subset</t>
  </si>
  <si>
    <t>Slides-Papers-Reports</t>
  </si>
  <si>
    <t>Started github repository for all my papers &amp; talks</t>
  </si>
  <si>
    <t>category subdirectories, _all subdirectory with year prefix on each paper/talk/report</t>
  </si>
  <si>
    <t>Column info</t>
  </si>
  <si>
    <t>have prefixed the name with the year of first recorded log file info</t>
  </si>
  <si>
    <t>ISA name</t>
  </si>
  <si>
    <t>other ISA names, changes are made over time for better pronounciaton or effect</t>
  </si>
  <si>
    <t>per daily log file or written notes</t>
  </si>
  <si>
    <t>business case, why there is a market for this ISA</t>
  </si>
  <si>
    <t>percise instruction by instruction description of the ISA, e.g. programmer's reference manual</t>
  </si>
  <si>
    <t>basic description without the precision</t>
  </si>
  <si>
    <t>spreadsheet of the instructions and formats, may have opcode binary codes</t>
  </si>
  <si>
    <t>VHDL or verilog implementation files</t>
  </si>
  <si>
    <t>code for instruction bit sizes</t>
  </si>
  <si>
    <t>code for data bit sizes</t>
  </si>
  <si>
    <t>address size in bits</t>
  </si>
  <si>
    <t>register bit size not including tag bits</t>
  </si>
  <si>
    <t>code for addressing modes</t>
  </si>
  <si>
    <t>code for data types</t>
  </si>
  <si>
    <t>particular development project name</t>
  </si>
  <si>
    <t>FPGA family</t>
  </si>
  <si>
    <t>FPGA development tool and version</t>
  </si>
  <si>
    <t>date the FPGA run was made</t>
  </si>
  <si>
    <t>LUT count for the FPGA run</t>
  </si>
  <si>
    <t>D flip-flop count</t>
  </si>
  <si>
    <t>multiply/accumulator count</t>
  </si>
  <si>
    <t>block RAM count</t>
  </si>
  <si>
    <t>average number of clock cycles per instruction</t>
  </si>
  <si>
    <t>clock period in nano-seconds</t>
  </si>
  <si>
    <t>adjustment factor for word size: 32-bit = 1, 24-bit = 0.8, 16 bits: 0.67, 12 bits = 0.5, 8 bits = 0.33, 4 bits = 0.17, 1 bit = 0.04</t>
  </si>
  <si>
    <t>figure of merit used in massive open cores spreadsheet</t>
  </si>
  <si>
    <t>test bench present</t>
  </si>
  <si>
    <t>test bench passed</t>
  </si>
  <si>
    <t>runs on FPGA board</t>
  </si>
  <si>
    <t>web link to location of design archive</t>
  </si>
  <si>
    <r>
      <rPr>
        <b/>
        <sz val="11"/>
        <color theme="1"/>
        <rFont val="Calibri"/>
        <family val="2"/>
        <scheme val="minor"/>
      </rPr>
      <t>BCD</t>
    </r>
    <r>
      <rPr>
        <sz val="11"/>
        <color theme="1"/>
        <rFont val="Calibri"/>
        <family val="2"/>
        <scheme val="minor"/>
      </rPr>
      <t xml:space="preserve">: binary coded decimal, </t>
    </r>
    <r>
      <rPr>
        <b/>
        <sz val="11"/>
        <color theme="1"/>
        <rFont val="Calibri"/>
        <family val="2"/>
        <scheme val="minor"/>
      </rPr>
      <t>RISC</t>
    </r>
    <r>
      <rPr>
        <sz val="11"/>
        <color theme="1"/>
        <rFont val="Calibri"/>
        <family val="2"/>
        <scheme val="minor"/>
      </rPr>
      <t xml:space="preserve">: aka </t>
    </r>
    <r>
      <rPr>
        <b/>
        <sz val="11"/>
        <color theme="1"/>
        <rFont val="Calibri"/>
        <family val="2"/>
        <scheme val="minor"/>
      </rPr>
      <t>ROC</t>
    </r>
    <r>
      <rPr>
        <sz val="11"/>
        <color theme="1"/>
        <rFont val="Calibri"/>
        <family val="2"/>
        <scheme val="minor"/>
      </rPr>
      <t xml:space="preserve"> register oriented computer, </t>
    </r>
    <r>
      <rPr>
        <b/>
        <sz val="11"/>
        <color theme="1"/>
        <rFont val="Calibri"/>
        <family val="2"/>
        <scheme val="minor"/>
      </rPr>
      <t>MAOC</t>
    </r>
    <r>
      <rPr>
        <sz val="11"/>
        <color theme="1"/>
        <rFont val="Calibri"/>
        <family val="2"/>
        <scheme val="minor"/>
      </rPr>
      <t xml:space="preserve">: aka </t>
    </r>
    <r>
      <rPr>
        <b/>
        <sz val="11"/>
        <color theme="1"/>
        <rFont val="Calibri"/>
        <family val="2"/>
        <scheme val="minor"/>
      </rPr>
      <t>CISC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stack</t>
    </r>
    <r>
      <rPr>
        <sz val="11"/>
        <color theme="1"/>
        <rFont val="Calibri"/>
        <family val="2"/>
        <scheme val="minor"/>
      </rPr>
      <t xml:space="preserve">: both return and data stacks, </t>
    </r>
    <r>
      <rPr>
        <b/>
        <sz val="11"/>
        <color theme="1"/>
        <rFont val="Calibri"/>
        <family val="2"/>
        <scheme val="minor"/>
      </rPr>
      <t>TROC</t>
    </r>
    <r>
      <rPr>
        <sz val="11"/>
        <color theme="1"/>
        <rFont val="Calibri"/>
        <family val="2"/>
        <scheme val="minor"/>
      </rPr>
      <t xml:space="preserve">: tagged ROC, </t>
    </r>
    <r>
      <rPr>
        <b/>
        <sz val="11"/>
        <color theme="1"/>
        <rFont val="Calibri"/>
        <family val="2"/>
        <scheme val="minor"/>
      </rPr>
      <t>OOSM</t>
    </r>
    <r>
      <rPr>
        <sz val="11"/>
        <color theme="1"/>
        <rFont val="Calibri"/>
        <family val="2"/>
        <scheme val="minor"/>
      </rPr>
      <t xml:space="preserve">: one operand stack machine, </t>
    </r>
    <r>
      <rPr>
        <b/>
        <sz val="11"/>
        <color theme="1"/>
        <rFont val="Calibri"/>
        <family val="2"/>
        <scheme val="minor"/>
      </rPr>
      <t>LEM</t>
    </r>
    <r>
      <rPr>
        <sz val="11"/>
        <color theme="1"/>
        <rFont val="Calibri"/>
        <family val="2"/>
        <scheme val="minor"/>
      </rPr>
      <t xml:space="preserve">: logic emulation machine, </t>
    </r>
    <r>
      <rPr>
        <b/>
        <sz val="11"/>
        <color theme="1"/>
        <rFont val="Calibri"/>
        <family val="2"/>
        <scheme val="minor"/>
      </rPr>
      <t>accum</t>
    </r>
    <r>
      <rPr>
        <sz val="11"/>
        <color theme="1"/>
        <rFont val="Calibri"/>
        <family val="2"/>
        <scheme val="minor"/>
      </rPr>
      <t>: accumulator dsgn</t>
    </r>
  </si>
  <si>
    <t>should have read Wirth's thesis in detail</t>
  </si>
  <si>
    <t>reason for effort</t>
  </si>
  <si>
    <t>document my ideas</t>
  </si>
  <si>
    <t>legacy upgrade of IBM 1620</t>
  </si>
  <si>
    <t>gradual overflow via trailing zeros code</t>
  </si>
  <si>
    <t>presentation graph</t>
  </si>
  <si>
    <t>refinement</t>
  </si>
  <si>
    <t>legacy upgrade of TI MSP430</t>
  </si>
  <si>
    <t>minimal LUT count logic emulation</t>
  </si>
  <si>
    <t>legacy upgrade of IEEE 754</t>
  </si>
  <si>
    <t>hiher speed CAN bus</t>
  </si>
  <si>
    <t>very low cost microprocessor kit</t>
  </si>
  <si>
    <t>push more functionality into stack ISA</t>
  </si>
  <si>
    <t>table dirven parser including brackets</t>
  </si>
  <si>
    <t>legacy upgrade of DEC PDP-11</t>
  </si>
  <si>
    <t>organized ISA collection</t>
  </si>
  <si>
    <t>less difficult floating-point terminology</t>
  </si>
  <si>
    <t>document TROC16, solicit feedback</t>
  </si>
  <si>
    <t>addressable stack items</t>
  </si>
  <si>
    <t>atlast a convincing floating-point standard</t>
  </si>
  <si>
    <t>Some legacy upgrades are successful: Z80-&gt; eZ80, 8080-&gt; x86, x86-&gt; x86-64, 6502-&gt; 65C816, IBM360-&gt; IBM370</t>
  </si>
  <si>
    <t>Much of my work can be seen as legacy upgrades of existing or legacy computers.  A common activity for commercial products and old military hardware.</t>
  </si>
  <si>
    <t>reduces memory waste, programming IDE via hex-edit, also radix1000 memory addressing</t>
  </si>
  <si>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date of first description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</si>
</sst>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m/d/yyyy;@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hair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0" borderId="1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5" xfId="0" applyNumberFormat="1" applyBorder="1"/>
    <xf numFmtId="0" fontId="0" fillId="0" borderId="5" xfId="0" applyBorder="1"/>
    <xf numFmtId="0" fontId="0" fillId="0" borderId="6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165" fontId="1" fillId="0" borderId="1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10" xfId="0" applyNumberFormat="1" applyBorder="1" applyAlignment="1">
      <alignment horizontal="right"/>
    </xf>
    <xf numFmtId="0" fontId="0" fillId="0" borderId="19" xfId="0" applyBorder="1" applyAlignment="1"/>
    <xf numFmtId="164" fontId="0" fillId="0" borderId="18" xfId="0" applyNumberFormat="1" applyBorder="1"/>
    <xf numFmtId="0" fontId="4" fillId="0" borderId="7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8" xfId="1" applyFont="1" applyBorder="1"/>
    <xf numFmtId="166" fontId="2" fillId="0" borderId="0" xfId="0" applyNumberFormat="1" applyFont="1"/>
    <xf numFmtId="166" fontId="0" fillId="0" borderId="0" xfId="0" applyNumberFormat="1"/>
    <xf numFmtId="166" fontId="1" fillId="0" borderId="8" xfId="0" applyNumberFormat="1" applyFont="1" applyBorder="1"/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textRotation="90" wrapText="1"/>
    </xf>
    <xf numFmtId="166" fontId="1" fillId="0" borderId="2" xfId="0" applyNumberFormat="1" applyFont="1" applyBorder="1" applyAlignment="1">
      <alignment horizontal="center" vertical="center" textRotation="90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4" fillId="0" borderId="0" xfId="0" applyFont="1"/>
    <xf numFmtId="0" fontId="1" fillId="0" borderId="1" xfId="0" applyFont="1" applyBorder="1" applyAlignment="1">
      <alignment horizontal="center" vertical="center" textRotation="90" wrapText="1"/>
    </xf>
    <xf numFmtId="0" fontId="0" fillId="0" borderId="20" xfId="0" applyBorder="1"/>
    <xf numFmtId="0" fontId="0" fillId="0" borderId="21" xfId="0" applyBorder="1"/>
    <xf numFmtId="0" fontId="1" fillId="0" borderId="21" xfId="0" applyFont="1" applyBorder="1"/>
    <xf numFmtId="0" fontId="0" fillId="0" borderId="22" xfId="0" applyBorder="1"/>
    <xf numFmtId="0" fontId="0" fillId="0" borderId="23" xfId="0" applyFont="1" applyBorder="1"/>
    <xf numFmtId="0" fontId="0" fillId="0" borderId="24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" fillId="0" borderId="27" xfId="0" applyFont="1" applyBorder="1"/>
    <xf numFmtId="0" fontId="4" fillId="0" borderId="27" xfId="0" applyFont="1" applyBorder="1"/>
    <xf numFmtId="0" fontId="0" fillId="0" borderId="28" xfId="0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0" fillId="0" borderId="29" xfId="0" applyBorder="1"/>
    <xf numFmtId="164" fontId="0" fillId="0" borderId="30" xfId="0" applyNumberFormat="1" applyBorder="1"/>
    <xf numFmtId="0" fontId="0" fillId="0" borderId="31" xfId="0" applyBorder="1"/>
    <xf numFmtId="164" fontId="0" fillId="0" borderId="32" xfId="0" applyNumberFormat="1" applyBorder="1"/>
    <xf numFmtId="0" fontId="1" fillId="0" borderId="31" xfId="0" applyFont="1" applyBorder="1"/>
    <xf numFmtId="164" fontId="1" fillId="0" borderId="32" xfId="0" applyNumberFormat="1" applyFont="1" applyBorder="1"/>
    <xf numFmtId="164" fontId="0" fillId="0" borderId="32" xfId="0" applyNumberFormat="1" applyBorder="1" applyAlignment="1">
      <alignment horizontal="center" vertical="center"/>
    </xf>
    <xf numFmtId="0" fontId="0" fillId="0" borderId="33" xfId="0" applyBorder="1"/>
    <xf numFmtId="164" fontId="0" fillId="0" borderId="34" xfId="0" applyNumberFormat="1" applyBorder="1"/>
    <xf numFmtId="0" fontId="0" fillId="0" borderId="35" xfId="0" applyBorder="1"/>
    <xf numFmtId="0" fontId="0" fillId="0" borderId="36" xfId="0" applyBorder="1"/>
    <xf numFmtId="0" fontId="1" fillId="0" borderId="36" xfId="0" applyFont="1" applyBorder="1"/>
    <xf numFmtId="0" fontId="0" fillId="0" borderId="37" xfId="0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6" fontId="0" fillId="0" borderId="26" xfId="0" applyNumberFormat="1" applyBorder="1"/>
    <xf numFmtId="166" fontId="0" fillId="0" borderId="27" xfId="0" applyNumberFormat="1" applyBorder="1"/>
    <xf numFmtId="166" fontId="1" fillId="0" borderId="27" xfId="0" applyNumberFormat="1" applyFont="1" applyBorder="1"/>
    <xf numFmtId="1" fontId="1" fillId="0" borderId="27" xfId="0" applyNumberFormat="1" applyFont="1" applyBorder="1"/>
    <xf numFmtId="166" fontId="0" fillId="0" borderId="28" xfId="0" applyNumberFormat="1" applyBorder="1"/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9" xfId="0" applyFont="1" applyBorder="1"/>
    <xf numFmtId="0" fontId="4" fillId="0" borderId="4" xfId="0" applyFont="1" applyBorder="1"/>
    <xf numFmtId="165" fontId="0" fillId="0" borderId="4" xfId="0" applyNumberFormat="1" applyBorder="1" applyAlignment="1">
      <alignment horizontal="right" vertical="center"/>
    </xf>
    <xf numFmtId="165" fontId="0" fillId="0" borderId="17" xfId="0" applyNumberFormat="1" applyBorder="1" applyAlignment="1">
      <alignment horizontal="right" vertical="center"/>
    </xf>
    <xf numFmtId="165" fontId="0" fillId="0" borderId="7" xfId="0" applyNumberFormat="1" applyBorder="1" applyAlignment="1">
      <alignment horizontal="right" vertical="center"/>
    </xf>
    <xf numFmtId="165" fontId="0" fillId="0" borderId="47" xfId="0" applyNumberFormat="1" applyBorder="1" applyAlignment="1">
      <alignment horizontal="right" vertical="center"/>
    </xf>
    <xf numFmtId="0" fontId="0" fillId="0" borderId="48" xfId="0" applyBorder="1"/>
    <xf numFmtId="0" fontId="0" fillId="0" borderId="49" xfId="0" applyBorder="1"/>
    <xf numFmtId="165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71"/>
  <sheetViews>
    <sheetView tabSelected="1" zoomScaleNormal="100" workbookViewId="0">
      <pane ySplit="3" topLeftCell="A22" activePane="bottomLeft" state="frozenSplit"/>
      <selection pane="bottomLeft" activeCell="Y52" sqref="Y52"/>
    </sheetView>
  </sheetViews>
  <sheetFormatPr defaultRowHeight="15" x14ac:dyDescent="0.25"/>
  <cols>
    <col min="1" max="1" width="2.7109375" customWidth="1"/>
    <col min="2" max="2" width="5.42578125" customWidth="1"/>
    <col min="3" max="3" width="12.28515625" customWidth="1"/>
    <col min="4" max="4" width="17.7109375" customWidth="1"/>
    <col min="5" max="5" width="8.140625" customWidth="1"/>
    <col min="6" max="6" width="9.42578125" style="42" customWidth="1"/>
    <col min="7" max="8" width="2.85546875" style="43" customWidth="1"/>
    <col min="9" max="11" width="2.85546875" style="63" customWidth="1"/>
    <col min="12" max="15" width="3.42578125" style="43" customWidth="1"/>
    <col min="16" max="16" width="2.85546875" style="43" customWidth="1"/>
    <col min="17" max="17" width="5" style="43" customWidth="1"/>
    <col min="18" max="18" width="13.140625" customWidth="1"/>
    <col min="19" max="19" width="4.140625" customWidth="1"/>
    <col min="20" max="20" width="5.5703125" customWidth="1"/>
    <col min="21" max="21" width="9" style="5" customWidth="1"/>
    <col min="22" max="22" width="5.28515625" customWidth="1"/>
    <col min="23" max="23" width="5.140625" customWidth="1"/>
    <col min="24" max="24" width="2.85546875" customWidth="1"/>
    <col min="25" max="25" width="4.42578125" customWidth="1"/>
    <col min="26" max="26" width="3.140625" customWidth="1"/>
    <col min="27" max="27" width="4.85546875" customWidth="1"/>
    <col min="28" max="28" width="5.85546875" customWidth="1"/>
    <col min="29" max="29" width="5.7109375" style="51" customWidth="1"/>
    <col min="30" max="31" width="2.85546875" style="63" customWidth="1"/>
    <col min="32" max="32" width="2.85546875" style="43" customWidth="1"/>
    <col min="33" max="33" width="33.7109375" customWidth="1"/>
    <col min="34" max="34" width="53.140625" customWidth="1"/>
  </cols>
  <sheetData>
    <row r="1" spans="2:34" s="2" customFormat="1" ht="21.75" thickBot="1" x14ac:dyDescent="0.4">
      <c r="D1" s="4" t="s">
        <v>153</v>
      </c>
      <c r="F1" s="39"/>
      <c r="G1" s="40"/>
      <c r="H1" s="48" t="s">
        <v>0</v>
      </c>
      <c r="I1" s="41"/>
      <c r="J1" s="41"/>
      <c r="K1" s="41"/>
      <c r="L1" s="41"/>
      <c r="M1" s="41"/>
      <c r="N1" s="41"/>
      <c r="O1" s="41"/>
      <c r="P1" s="41"/>
      <c r="Q1" s="41"/>
      <c r="U1" s="4"/>
      <c r="AC1" s="50"/>
      <c r="AD1" s="41"/>
      <c r="AE1" s="41"/>
      <c r="AF1" s="41"/>
    </row>
    <row r="2" spans="2:34" ht="9" hidden="1" customHeight="1" thickBot="1" x14ac:dyDescent="0.3"/>
    <row r="3" spans="2:34" s="25" customFormat="1" ht="58.5" customHeight="1" thickBot="1" x14ac:dyDescent="0.3">
      <c r="B3" s="67" t="s">
        <v>218</v>
      </c>
      <c r="C3" s="23" t="s">
        <v>1</v>
      </c>
      <c r="D3" s="23" t="s">
        <v>18</v>
      </c>
      <c r="E3" s="23" t="s">
        <v>13</v>
      </c>
      <c r="F3" s="57" t="s">
        <v>112</v>
      </c>
      <c r="G3" s="54" t="s">
        <v>34</v>
      </c>
      <c r="H3" s="54" t="s">
        <v>219</v>
      </c>
      <c r="I3" s="54" t="s">
        <v>220</v>
      </c>
      <c r="J3" s="54" t="s">
        <v>5</v>
      </c>
      <c r="K3" s="54" t="s">
        <v>6</v>
      </c>
      <c r="L3" s="54" t="s">
        <v>180</v>
      </c>
      <c r="M3" s="54" t="s">
        <v>181</v>
      </c>
      <c r="N3" s="54" t="s">
        <v>188</v>
      </c>
      <c r="O3" s="54" t="s">
        <v>189</v>
      </c>
      <c r="P3" s="54" t="s">
        <v>182</v>
      </c>
      <c r="Q3" s="54" t="s">
        <v>194</v>
      </c>
      <c r="R3" s="23" t="s">
        <v>15</v>
      </c>
      <c r="S3" s="54" t="s">
        <v>14</v>
      </c>
      <c r="T3" s="54" t="s">
        <v>19</v>
      </c>
      <c r="U3" s="56" t="s">
        <v>17</v>
      </c>
      <c r="V3" s="54" t="s">
        <v>7</v>
      </c>
      <c r="W3" s="54" t="s">
        <v>8</v>
      </c>
      <c r="X3" s="54" t="s">
        <v>166</v>
      </c>
      <c r="Y3" s="54" t="s">
        <v>10</v>
      </c>
      <c r="Z3" s="54" t="s">
        <v>169</v>
      </c>
      <c r="AA3" s="54" t="s">
        <v>161</v>
      </c>
      <c r="AB3" s="54" t="s">
        <v>168</v>
      </c>
      <c r="AC3" s="55" t="s">
        <v>165</v>
      </c>
      <c r="AD3" s="54" t="s">
        <v>143</v>
      </c>
      <c r="AE3" s="54" t="s">
        <v>167</v>
      </c>
      <c r="AF3" s="58" t="s">
        <v>201</v>
      </c>
      <c r="AG3" s="53" t="s">
        <v>142</v>
      </c>
      <c r="AH3" s="24" t="s">
        <v>12</v>
      </c>
    </row>
    <row r="4" spans="2:34" ht="9" customHeight="1" thickBot="1" x14ac:dyDescent="0.3"/>
    <row r="5" spans="2:34" ht="15.75" x14ac:dyDescent="0.25">
      <c r="B5" s="72">
        <v>1999</v>
      </c>
      <c r="C5" s="75" t="s">
        <v>210</v>
      </c>
      <c r="D5" s="68" t="s">
        <v>213</v>
      </c>
      <c r="E5" s="68" t="s">
        <v>22</v>
      </c>
      <c r="F5" s="119">
        <v>33756</v>
      </c>
      <c r="G5" s="123"/>
      <c r="H5" s="44"/>
      <c r="I5" s="85" t="s">
        <v>154</v>
      </c>
      <c r="J5" s="85"/>
      <c r="K5" s="86"/>
      <c r="L5" s="80" t="s">
        <v>184</v>
      </c>
      <c r="M5" s="44" t="s">
        <v>184</v>
      </c>
      <c r="N5" s="44"/>
      <c r="O5" s="44"/>
      <c r="P5" s="44"/>
      <c r="Q5" s="59"/>
      <c r="R5" s="91"/>
      <c r="S5" s="11"/>
      <c r="T5" s="11"/>
      <c r="U5" s="92"/>
      <c r="V5" s="68"/>
      <c r="W5" s="11"/>
      <c r="X5" s="11"/>
      <c r="Y5" s="11"/>
      <c r="Z5" s="11"/>
      <c r="AA5" s="11"/>
      <c r="AB5" s="20"/>
      <c r="AC5" s="114"/>
      <c r="AD5" s="104"/>
      <c r="AE5" s="105"/>
      <c r="AF5" s="106"/>
      <c r="AG5" s="100"/>
      <c r="AH5" s="12" t="s">
        <v>23</v>
      </c>
    </row>
    <row r="6" spans="2:34" ht="15.75" x14ac:dyDescent="0.25">
      <c r="B6" s="73">
        <v>2000</v>
      </c>
      <c r="C6" s="78" t="s">
        <v>49</v>
      </c>
      <c r="D6" s="70" t="s">
        <v>54</v>
      </c>
      <c r="E6" s="70" t="s">
        <v>113</v>
      </c>
      <c r="F6" s="121">
        <v>36649</v>
      </c>
      <c r="G6" s="84" t="s">
        <v>154</v>
      </c>
      <c r="H6" s="46"/>
      <c r="I6" s="87"/>
      <c r="J6" s="87" t="s">
        <v>154</v>
      </c>
      <c r="K6" s="88"/>
      <c r="L6" s="82"/>
      <c r="M6" s="46"/>
      <c r="N6" s="46"/>
      <c r="O6" s="46"/>
      <c r="P6" s="46"/>
      <c r="Q6" s="61"/>
      <c r="R6" s="95" t="s">
        <v>49</v>
      </c>
      <c r="S6" s="36"/>
      <c r="T6" s="36"/>
      <c r="U6" s="96"/>
      <c r="V6" s="70"/>
      <c r="W6" s="36"/>
      <c r="X6" s="36"/>
      <c r="Y6" s="36"/>
      <c r="Z6" s="36"/>
      <c r="AA6" s="36"/>
      <c r="AB6" s="35"/>
      <c r="AC6" s="116"/>
      <c r="AD6" s="107"/>
      <c r="AE6" s="108"/>
      <c r="AF6" s="110"/>
      <c r="AG6" s="102" t="s">
        <v>137</v>
      </c>
      <c r="AH6" s="37" t="s">
        <v>155</v>
      </c>
    </row>
    <row r="7" spans="2:34" ht="15.75" x14ac:dyDescent="0.25">
      <c r="B7" s="73">
        <v>2002</v>
      </c>
      <c r="C7" s="77" t="s">
        <v>43</v>
      </c>
      <c r="D7" s="70"/>
      <c r="E7" s="70" t="s">
        <v>26</v>
      </c>
      <c r="F7" s="121">
        <v>37367</v>
      </c>
      <c r="G7" s="84" t="s">
        <v>154</v>
      </c>
      <c r="H7" s="46" t="s">
        <v>154</v>
      </c>
      <c r="I7" s="87" t="s">
        <v>154</v>
      </c>
      <c r="J7" s="87" t="s">
        <v>154</v>
      </c>
      <c r="K7" s="88" t="s">
        <v>154</v>
      </c>
      <c r="L7" s="82"/>
      <c r="M7" s="46">
        <v>1</v>
      </c>
      <c r="N7" s="46">
        <v>1</v>
      </c>
      <c r="O7" s="46"/>
      <c r="P7" s="46"/>
      <c r="Q7" s="61"/>
      <c r="R7" s="95" t="s">
        <v>43</v>
      </c>
      <c r="S7" s="36" t="s">
        <v>158</v>
      </c>
      <c r="T7" s="49" t="s">
        <v>170</v>
      </c>
      <c r="U7" s="96">
        <v>45883</v>
      </c>
      <c r="V7" s="70">
        <v>79</v>
      </c>
      <c r="W7" s="36">
        <v>17</v>
      </c>
      <c r="X7" s="36"/>
      <c r="Y7" s="36">
        <v>0.5</v>
      </c>
      <c r="Z7" s="36">
        <v>1</v>
      </c>
      <c r="AA7" s="36">
        <v>9.5</v>
      </c>
      <c r="AB7" s="35">
        <v>0.04</v>
      </c>
      <c r="AC7" s="116">
        <f>AB7*1000000/(V7*AA7)</f>
        <v>53.297801465689538</v>
      </c>
      <c r="AD7" s="107" t="s">
        <v>154</v>
      </c>
      <c r="AE7" s="108" t="s">
        <v>154</v>
      </c>
      <c r="AF7" s="110"/>
      <c r="AG7" s="102" t="s">
        <v>131</v>
      </c>
      <c r="AH7" s="37" t="s">
        <v>172</v>
      </c>
    </row>
    <row r="8" spans="2:34" ht="15.75" x14ac:dyDescent="0.25">
      <c r="B8" s="73">
        <v>2002</v>
      </c>
      <c r="C8" s="77" t="s">
        <v>44</v>
      </c>
      <c r="D8" s="70"/>
      <c r="E8" s="70" t="s">
        <v>26</v>
      </c>
      <c r="F8" s="121">
        <v>37367</v>
      </c>
      <c r="G8" s="84" t="s">
        <v>154</v>
      </c>
      <c r="H8" s="46" t="s">
        <v>154</v>
      </c>
      <c r="I8" s="87" t="s">
        <v>154</v>
      </c>
      <c r="J8" s="87" t="s">
        <v>154</v>
      </c>
      <c r="K8" s="88" t="s">
        <v>154</v>
      </c>
      <c r="L8" s="82"/>
      <c r="M8" s="46">
        <v>1</v>
      </c>
      <c r="N8" s="46">
        <v>1</v>
      </c>
      <c r="O8" s="46"/>
      <c r="P8" s="46"/>
      <c r="Q8" s="61"/>
      <c r="R8" s="95" t="s">
        <v>44</v>
      </c>
      <c r="S8" s="36" t="s">
        <v>158</v>
      </c>
      <c r="T8" s="49" t="s">
        <v>170</v>
      </c>
      <c r="U8" s="96">
        <v>45883</v>
      </c>
      <c r="V8" s="70">
        <v>21</v>
      </c>
      <c r="W8" s="36">
        <v>36</v>
      </c>
      <c r="X8" s="36"/>
      <c r="Y8" s="36">
        <v>0.5</v>
      </c>
      <c r="Z8" s="36">
        <v>1</v>
      </c>
      <c r="AA8" s="36">
        <v>4.7</v>
      </c>
      <c r="AB8" s="35">
        <v>0.02</v>
      </c>
      <c r="AC8" s="116">
        <f>AB8*1000000/(V8*AA8)</f>
        <v>202.63424518743668</v>
      </c>
      <c r="AD8" s="107" t="s">
        <v>154</v>
      </c>
      <c r="AE8" s="108" t="s">
        <v>154</v>
      </c>
      <c r="AF8" s="110" t="s">
        <v>154</v>
      </c>
      <c r="AG8" s="102" t="s">
        <v>136</v>
      </c>
      <c r="AH8" s="37" t="s">
        <v>171</v>
      </c>
    </row>
    <row r="9" spans="2:34" ht="15.75" x14ac:dyDescent="0.25">
      <c r="B9" s="73">
        <v>2002</v>
      </c>
      <c r="C9" s="77" t="s">
        <v>45</v>
      </c>
      <c r="D9" s="70"/>
      <c r="E9" s="70" t="s">
        <v>26</v>
      </c>
      <c r="F9" s="121">
        <v>37367</v>
      </c>
      <c r="G9" s="84" t="s">
        <v>154</v>
      </c>
      <c r="H9" s="46" t="s">
        <v>154</v>
      </c>
      <c r="I9" s="87" t="s">
        <v>154</v>
      </c>
      <c r="J9" s="87" t="s">
        <v>154</v>
      </c>
      <c r="K9" s="88" t="s">
        <v>154</v>
      </c>
      <c r="L9" s="82"/>
      <c r="M9" s="46">
        <v>1</v>
      </c>
      <c r="N9" s="46">
        <v>1</v>
      </c>
      <c r="O9" s="46"/>
      <c r="P9" s="46"/>
      <c r="Q9" s="61"/>
      <c r="R9" s="95" t="s">
        <v>45</v>
      </c>
      <c r="S9" s="36" t="s">
        <v>158</v>
      </c>
      <c r="T9" s="49" t="s">
        <v>170</v>
      </c>
      <c r="U9" s="96">
        <v>45883</v>
      </c>
      <c r="V9" s="70">
        <v>114</v>
      </c>
      <c r="W9" s="36">
        <v>17</v>
      </c>
      <c r="X9" s="36"/>
      <c r="Y9" s="36">
        <v>0.5</v>
      </c>
      <c r="Z9" s="36">
        <v>1</v>
      </c>
      <c r="AA9" s="36">
        <v>9.6999999999999993</v>
      </c>
      <c r="AB9" s="35">
        <v>0.04</v>
      </c>
      <c r="AC9" s="116">
        <f>AB9*1000000/(V9*AA9)</f>
        <v>36.17290649303672</v>
      </c>
      <c r="AD9" s="107" t="s">
        <v>154</v>
      </c>
      <c r="AE9" s="108" t="s">
        <v>154</v>
      </c>
      <c r="AF9" s="110"/>
      <c r="AG9" s="102" t="s">
        <v>131</v>
      </c>
      <c r="AH9" s="37" t="s">
        <v>173</v>
      </c>
    </row>
    <row r="10" spans="2:34" s="38" customFormat="1" ht="15.75" x14ac:dyDescent="0.25">
      <c r="B10" s="73">
        <v>2002</v>
      </c>
      <c r="C10" s="77" t="s">
        <v>46</v>
      </c>
      <c r="D10" s="70"/>
      <c r="E10" s="70" t="s">
        <v>26</v>
      </c>
      <c r="F10" s="121">
        <v>37367</v>
      </c>
      <c r="G10" s="84" t="s">
        <v>154</v>
      </c>
      <c r="H10" s="46" t="s">
        <v>154</v>
      </c>
      <c r="I10" s="87" t="s">
        <v>154</v>
      </c>
      <c r="J10" s="87" t="s">
        <v>154</v>
      </c>
      <c r="K10" s="88" t="s">
        <v>154</v>
      </c>
      <c r="L10" s="82"/>
      <c r="M10" s="46">
        <v>4</v>
      </c>
      <c r="N10" s="46">
        <v>4</v>
      </c>
      <c r="O10" s="46"/>
      <c r="P10" s="46"/>
      <c r="Q10" s="61"/>
      <c r="R10" s="95" t="s">
        <v>46</v>
      </c>
      <c r="S10" s="36" t="s">
        <v>158</v>
      </c>
      <c r="T10" s="49" t="s">
        <v>170</v>
      </c>
      <c r="U10" s="96">
        <v>45883</v>
      </c>
      <c r="V10" s="70">
        <v>124</v>
      </c>
      <c r="W10" s="36">
        <v>21</v>
      </c>
      <c r="X10" s="36"/>
      <c r="Y10" s="36">
        <v>0.5</v>
      </c>
      <c r="Z10" s="36">
        <v>1</v>
      </c>
      <c r="AA10" s="36">
        <v>9.4</v>
      </c>
      <c r="AB10" s="35">
        <v>0.15</v>
      </c>
      <c r="AC10" s="116">
        <f>AB10*1000000/(V10*AA10)</f>
        <v>128.68908716540835</v>
      </c>
      <c r="AD10" s="107" t="s">
        <v>154</v>
      </c>
      <c r="AE10" s="108" t="s">
        <v>154</v>
      </c>
      <c r="AF10" s="110"/>
      <c r="AG10" s="102" t="s">
        <v>131</v>
      </c>
      <c r="AH10" s="37" t="s">
        <v>172</v>
      </c>
    </row>
    <row r="11" spans="2:34" s="38" customFormat="1" ht="15.75" x14ac:dyDescent="0.25">
      <c r="B11" s="73">
        <v>2002</v>
      </c>
      <c r="C11" s="77" t="s">
        <v>47</v>
      </c>
      <c r="D11" s="70"/>
      <c r="E11" s="70" t="s">
        <v>26</v>
      </c>
      <c r="F11" s="121">
        <v>37367</v>
      </c>
      <c r="G11" s="84" t="s">
        <v>154</v>
      </c>
      <c r="H11" s="46" t="s">
        <v>154</v>
      </c>
      <c r="I11" s="87" t="s">
        <v>154</v>
      </c>
      <c r="J11" s="87" t="s">
        <v>154</v>
      </c>
      <c r="K11" s="88" t="s">
        <v>154</v>
      </c>
      <c r="L11" s="82"/>
      <c r="M11" s="46">
        <v>4</v>
      </c>
      <c r="N11" s="46">
        <v>4</v>
      </c>
      <c r="O11" s="46"/>
      <c r="P11" s="46"/>
      <c r="Q11" s="61"/>
      <c r="R11" s="95" t="s">
        <v>47</v>
      </c>
      <c r="S11" s="36" t="s">
        <v>158</v>
      </c>
      <c r="T11" s="49" t="s">
        <v>170</v>
      </c>
      <c r="U11" s="96">
        <v>45883</v>
      </c>
      <c r="V11" s="70">
        <v>172</v>
      </c>
      <c r="W11" s="36">
        <v>21</v>
      </c>
      <c r="X11" s="36"/>
      <c r="Y11" s="36">
        <v>0.5</v>
      </c>
      <c r="Z11" s="36">
        <v>1</v>
      </c>
      <c r="AA11" s="36">
        <v>11.5</v>
      </c>
      <c r="AB11" s="35">
        <v>0.15</v>
      </c>
      <c r="AC11" s="116">
        <f>AB11*1000000/(V11*AA11)</f>
        <v>75.834175935288172</v>
      </c>
      <c r="AD11" s="107" t="s">
        <v>154</v>
      </c>
      <c r="AE11" s="108" t="s">
        <v>154</v>
      </c>
      <c r="AF11" s="110"/>
      <c r="AG11" s="102" t="s">
        <v>131</v>
      </c>
      <c r="AH11" s="37" t="s">
        <v>173</v>
      </c>
    </row>
    <row r="12" spans="2:34" s="38" customFormat="1" ht="15.75" x14ac:dyDescent="0.25">
      <c r="B12" s="73">
        <v>2009</v>
      </c>
      <c r="C12" s="76" t="s">
        <v>41</v>
      </c>
      <c r="D12" s="69" t="s">
        <v>66</v>
      </c>
      <c r="E12" s="69" t="s">
        <v>55</v>
      </c>
      <c r="F12" s="120">
        <v>39970</v>
      </c>
      <c r="G12" s="124"/>
      <c r="H12" s="45"/>
      <c r="I12" s="87" t="s">
        <v>154</v>
      </c>
      <c r="J12" s="87"/>
      <c r="K12" s="88"/>
      <c r="L12" s="81"/>
      <c r="M12" s="45"/>
      <c r="N12" s="45"/>
      <c r="O12" s="45"/>
      <c r="P12" s="45"/>
      <c r="Q12" s="60"/>
      <c r="R12" s="93" t="s">
        <v>66</v>
      </c>
      <c r="S12" s="14"/>
      <c r="T12" s="14"/>
      <c r="U12" s="94"/>
      <c r="V12" s="69"/>
      <c r="W12" s="14"/>
      <c r="X12" s="14"/>
      <c r="Y12" s="14"/>
      <c r="Z12" s="14"/>
      <c r="AA12" s="14"/>
      <c r="AB12" s="21"/>
      <c r="AC12" s="115"/>
      <c r="AD12" s="107"/>
      <c r="AE12" s="108"/>
      <c r="AF12" s="109"/>
      <c r="AG12" s="101"/>
      <c r="AH12" s="15"/>
    </row>
    <row r="13" spans="2:34" ht="15.75" x14ac:dyDescent="0.25">
      <c r="B13" s="73">
        <v>2009</v>
      </c>
      <c r="C13" s="76" t="s">
        <v>205</v>
      </c>
      <c r="D13" s="69"/>
      <c r="E13" s="69" t="s">
        <v>26</v>
      </c>
      <c r="F13" s="120">
        <v>39968</v>
      </c>
      <c r="G13" s="124"/>
      <c r="H13" s="45"/>
      <c r="I13" s="87"/>
      <c r="J13" s="87"/>
      <c r="K13" s="88" t="s">
        <v>154</v>
      </c>
      <c r="L13" s="81">
        <v>9</v>
      </c>
      <c r="M13" s="45">
        <v>8</v>
      </c>
      <c r="N13" s="45">
        <v>8</v>
      </c>
      <c r="O13" s="45">
        <v>11</v>
      </c>
      <c r="P13" s="45"/>
      <c r="Q13" s="60"/>
      <c r="R13" s="93" t="s">
        <v>206</v>
      </c>
      <c r="S13" s="14" t="s">
        <v>177</v>
      </c>
      <c r="T13" s="14" t="s">
        <v>175</v>
      </c>
      <c r="U13" s="97">
        <v>39968</v>
      </c>
      <c r="V13" s="69">
        <v>92</v>
      </c>
      <c r="W13" s="14">
        <v>61</v>
      </c>
      <c r="X13" s="14"/>
      <c r="Y13" s="14">
        <v>1</v>
      </c>
      <c r="Z13" s="14">
        <v>1</v>
      </c>
      <c r="AA13" s="14">
        <v>2.2000000000000002</v>
      </c>
      <c r="AB13" s="21">
        <v>0.33</v>
      </c>
      <c r="AC13" s="117">
        <f>AB13*1000000/(V13*AA13)</f>
        <v>1630.4347826086955</v>
      </c>
      <c r="AD13" s="107" t="s">
        <v>154</v>
      </c>
      <c r="AE13" s="108" t="s">
        <v>154</v>
      </c>
      <c r="AF13" s="109"/>
      <c r="AG13" s="101"/>
      <c r="AH13" s="15" t="s">
        <v>209</v>
      </c>
    </row>
    <row r="14" spans="2:34" ht="15.75" x14ac:dyDescent="0.25">
      <c r="B14" s="73">
        <v>2009</v>
      </c>
      <c r="C14" s="76" t="s">
        <v>205</v>
      </c>
      <c r="D14" s="69"/>
      <c r="E14" s="69" t="s">
        <v>26</v>
      </c>
      <c r="F14" s="120">
        <v>39968</v>
      </c>
      <c r="G14" s="124"/>
      <c r="H14" s="45"/>
      <c r="I14" s="87"/>
      <c r="J14" s="87"/>
      <c r="K14" s="88" t="s">
        <v>154</v>
      </c>
      <c r="L14" s="81">
        <v>9</v>
      </c>
      <c r="M14" s="45">
        <v>8</v>
      </c>
      <c r="N14" s="45">
        <v>8</v>
      </c>
      <c r="O14" s="45">
        <v>11</v>
      </c>
      <c r="P14" s="45"/>
      <c r="Q14" s="60"/>
      <c r="R14" s="93" t="s">
        <v>206</v>
      </c>
      <c r="S14" s="14" t="s">
        <v>207</v>
      </c>
      <c r="T14" s="14" t="s">
        <v>175</v>
      </c>
      <c r="U14" s="94">
        <v>39968</v>
      </c>
      <c r="V14" s="69">
        <v>114</v>
      </c>
      <c r="W14" s="14">
        <v>89</v>
      </c>
      <c r="X14" s="14"/>
      <c r="Y14" s="14">
        <v>1</v>
      </c>
      <c r="Z14" s="14">
        <v>1</v>
      </c>
      <c r="AA14" s="14">
        <v>4.5</v>
      </c>
      <c r="AB14" s="21">
        <v>0.33</v>
      </c>
      <c r="AC14" s="116">
        <f>AB14*1000000/(V14*AA14)</f>
        <v>643.27485380116957</v>
      </c>
      <c r="AD14" s="107" t="s">
        <v>154</v>
      </c>
      <c r="AE14" s="108" t="s">
        <v>154</v>
      </c>
      <c r="AF14" s="109"/>
      <c r="AG14" s="101"/>
      <c r="AH14" s="15" t="s">
        <v>208</v>
      </c>
    </row>
    <row r="15" spans="2:34" s="38" customFormat="1" ht="15.75" x14ac:dyDescent="0.25">
      <c r="B15" s="73">
        <v>2013</v>
      </c>
      <c r="C15" s="76" t="s">
        <v>67</v>
      </c>
      <c r="D15" s="69"/>
      <c r="E15" s="69" t="s">
        <v>57</v>
      </c>
      <c r="F15" s="120">
        <v>41478</v>
      </c>
      <c r="G15" s="124"/>
      <c r="H15" s="45"/>
      <c r="I15" s="87" t="s">
        <v>154</v>
      </c>
      <c r="J15" s="87" t="s">
        <v>154</v>
      </c>
      <c r="K15" s="88" t="s">
        <v>154</v>
      </c>
      <c r="L15" s="81"/>
      <c r="M15" s="45"/>
      <c r="N15" s="45"/>
      <c r="O15" s="45"/>
      <c r="P15" s="45"/>
      <c r="Q15" s="60"/>
      <c r="R15" s="93" t="s">
        <v>179</v>
      </c>
      <c r="S15" s="14" t="s">
        <v>177</v>
      </c>
      <c r="T15" s="14" t="s">
        <v>175</v>
      </c>
      <c r="U15" s="94">
        <v>42162</v>
      </c>
      <c r="V15" s="69"/>
      <c r="W15" s="14"/>
      <c r="X15" s="14"/>
      <c r="Y15" s="14"/>
      <c r="Z15" s="14"/>
      <c r="AA15" s="14"/>
      <c r="AB15" s="21"/>
      <c r="AC15" s="115"/>
      <c r="AD15" s="107"/>
      <c r="AE15" s="108"/>
      <c r="AF15" s="109"/>
      <c r="AG15" s="101"/>
      <c r="AH15" s="15" t="s">
        <v>223</v>
      </c>
    </row>
    <row r="16" spans="2:34" s="38" customFormat="1" ht="15.75" x14ac:dyDescent="0.25">
      <c r="B16" s="73">
        <v>2014</v>
      </c>
      <c r="C16" s="76" t="s">
        <v>211</v>
      </c>
      <c r="D16" s="69" t="s">
        <v>212</v>
      </c>
      <c r="E16" s="69" t="s">
        <v>22</v>
      </c>
      <c r="F16" s="120">
        <v>36421</v>
      </c>
      <c r="G16" s="124"/>
      <c r="H16" s="45"/>
      <c r="I16" s="87" t="s">
        <v>154</v>
      </c>
      <c r="J16" s="87"/>
      <c r="K16" s="88"/>
      <c r="L16" s="81"/>
      <c r="M16" s="45" t="s">
        <v>183</v>
      </c>
      <c r="N16" s="45"/>
      <c r="O16" s="45"/>
      <c r="P16" s="45"/>
      <c r="Q16" s="60"/>
      <c r="R16" s="93"/>
      <c r="S16" s="14"/>
      <c r="T16" s="14"/>
      <c r="U16" s="94"/>
      <c r="V16" s="69"/>
      <c r="W16" s="14"/>
      <c r="X16" s="14"/>
      <c r="Y16" s="14"/>
      <c r="Z16" s="14"/>
      <c r="AA16" s="14"/>
      <c r="AB16" s="21"/>
      <c r="AC16" s="115"/>
      <c r="AD16" s="107"/>
      <c r="AE16" s="108"/>
      <c r="AF16" s="109"/>
      <c r="AG16" s="101"/>
      <c r="AH16" s="15" t="s">
        <v>35</v>
      </c>
    </row>
    <row r="17" spans="2:34" s="38" customFormat="1" ht="15.75" x14ac:dyDescent="0.25">
      <c r="B17" s="73">
        <v>2014</v>
      </c>
      <c r="C17" s="77" t="s">
        <v>48</v>
      </c>
      <c r="D17" s="70"/>
      <c r="E17" s="70" t="s">
        <v>26</v>
      </c>
      <c r="F17" s="121">
        <v>39970</v>
      </c>
      <c r="G17" s="84"/>
      <c r="H17" s="46"/>
      <c r="I17" s="87" t="s">
        <v>154</v>
      </c>
      <c r="J17" s="87" t="s">
        <v>154</v>
      </c>
      <c r="K17" s="88" t="s">
        <v>154</v>
      </c>
      <c r="L17" s="82">
        <v>18</v>
      </c>
      <c r="M17" s="46">
        <v>16</v>
      </c>
      <c r="N17" s="46">
        <v>16</v>
      </c>
      <c r="O17" s="46"/>
      <c r="P17" s="46"/>
      <c r="Q17" s="61"/>
      <c r="R17" s="95" t="s">
        <v>178</v>
      </c>
      <c r="S17" s="36" t="s">
        <v>176</v>
      </c>
      <c r="T17" s="36" t="s">
        <v>175</v>
      </c>
      <c r="U17" s="96">
        <v>41395</v>
      </c>
      <c r="V17" s="70">
        <v>1214</v>
      </c>
      <c r="W17" s="36">
        <v>297</v>
      </c>
      <c r="X17" s="36"/>
      <c r="Y17" s="36">
        <v>20</v>
      </c>
      <c r="Z17" s="36">
        <v>2</v>
      </c>
      <c r="AA17" s="36">
        <v>11.85</v>
      </c>
      <c r="AB17" s="35">
        <v>0.67</v>
      </c>
      <c r="AC17" s="116">
        <f>AB17*1000000/(V17*AA17)</f>
        <v>46.573380879889335</v>
      </c>
      <c r="AD17" s="107"/>
      <c r="AE17" s="108"/>
      <c r="AF17" s="110"/>
      <c r="AG17" s="102" t="s">
        <v>174</v>
      </c>
      <c r="AH17" s="37" t="s">
        <v>185</v>
      </c>
    </row>
    <row r="18" spans="2:34" s="38" customFormat="1" ht="15.75" x14ac:dyDescent="0.25">
      <c r="B18" s="73">
        <v>2016</v>
      </c>
      <c r="C18" s="77" t="s">
        <v>39</v>
      </c>
      <c r="D18" s="70"/>
      <c r="E18" s="70" t="s">
        <v>56</v>
      </c>
      <c r="F18" s="121">
        <v>36590</v>
      </c>
      <c r="G18" s="84" t="s">
        <v>154</v>
      </c>
      <c r="H18" s="46"/>
      <c r="I18" s="87" t="s">
        <v>154</v>
      </c>
      <c r="J18" s="87" t="s">
        <v>154</v>
      </c>
      <c r="K18" s="88"/>
      <c r="L18" s="82"/>
      <c r="M18" s="46"/>
      <c r="N18" s="46"/>
      <c r="O18" s="46"/>
      <c r="P18" s="46"/>
      <c r="Q18" s="61"/>
      <c r="R18" s="95"/>
      <c r="S18" s="36"/>
      <c r="T18" s="36"/>
      <c r="U18" s="96"/>
      <c r="V18" s="70"/>
      <c r="W18" s="36"/>
      <c r="X18" s="36"/>
      <c r="Y18" s="36"/>
      <c r="Z18" s="36"/>
      <c r="AA18" s="36"/>
      <c r="AB18" s="35"/>
      <c r="AC18" s="116"/>
      <c r="AD18" s="107"/>
      <c r="AE18" s="108"/>
      <c r="AF18" s="110"/>
      <c r="AG18" s="102" t="s">
        <v>138</v>
      </c>
      <c r="AH18" s="37"/>
    </row>
    <row r="19" spans="2:34" s="38" customFormat="1" ht="15.75" x14ac:dyDescent="0.25">
      <c r="B19" s="73">
        <v>2016</v>
      </c>
      <c r="C19" s="77" t="s">
        <v>52</v>
      </c>
      <c r="D19" s="70"/>
      <c r="E19" s="70" t="s">
        <v>58</v>
      </c>
      <c r="F19" s="121">
        <v>42529</v>
      </c>
      <c r="G19" s="84" t="s">
        <v>154</v>
      </c>
      <c r="H19" s="46"/>
      <c r="I19" s="87" t="s">
        <v>154</v>
      </c>
      <c r="J19" s="87" t="s">
        <v>154</v>
      </c>
      <c r="K19" s="88" t="s">
        <v>154</v>
      </c>
      <c r="L19" s="82">
        <v>24</v>
      </c>
      <c r="M19" s="46">
        <v>24</v>
      </c>
      <c r="N19" s="46">
        <v>24</v>
      </c>
      <c r="O19" s="46">
        <v>24</v>
      </c>
      <c r="P19" s="46"/>
      <c r="Q19" s="61"/>
      <c r="R19" s="95" t="s">
        <v>164</v>
      </c>
      <c r="S19" s="36" t="s">
        <v>158</v>
      </c>
      <c r="T19" s="36" t="s">
        <v>157</v>
      </c>
      <c r="U19" s="96">
        <v>45883</v>
      </c>
      <c r="V19" s="70">
        <v>402</v>
      </c>
      <c r="W19" s="36">
        <v>96</v>
      </c>
      <c r="X19" s="36">
        <v>1</v>
      </c>
      <c r="Y19" s="36">
        <v>0.5</v>
      </c>
      <c r="Z19" s="36">
        <v>1</v>
      </c>
      <c r="AA19" s="36">
        <v>9.6999999999999993</v>
      </c>
      <c r="AB19" s="35">
        <v>0.8</v>
      </c>
      <c r="AC19" s="116">
        <f>AB19*1000000/(V19*AA19)</f>
        <v>205.15976816946198</v>
      </c>
      <c r="AD19" s="107" t="s">
        <v>154</v>
      </c>
      <c r="AE19" s="108" t="s">
        <v>154</v>
      </c>
      <c r="AF19" s="110"/>
      <c r="AG19" s="102"/>
      <c r="AH19" s="37"/>
    </row>
    <row r="20" spans="2:34" ht="15.75" x14ac:dyDescent="0.25">
      <c r="B20" s="73">
        <v>2016</v>
      </c>
      <c r="C20" s="76" t="s">
        <v>51</v>
      </c>
      <c r="D20" s="69"/>
      <c r="E20" s="69" t="s">
        <v>58</v>
      </c>
      <c r="F20" s="120">
        <v>45124</v>
      </c>
      <c r="G20" s="84" t="s">
        <v>154</v>
      </c>
      <c r="H20" s="46"/>
      <c r="I20" s="87" t="s">
        <v>154</v>
      </c>
      <c r="J20" s="87" t="s">
        <v>154</v>
      </c>
      <c r="K20" s="88" t="s">
        <v>154</v>
      </c>
      <c r="L20" s="81">
        <v>24</v>
      </c>
      <c r="M20" s="45" t="s">
        <v>192</v>
      </c>
      <c r="N20" s="45">
        <v>24</v>
      </c>
      <c r="O20" s="45"/>
      <c r="P20" s="45"/>
      <c r="Q20" s="60" t="s">
        <v>198</v>
      </c>
      <c r="R20" s="93"/>
      <c r="S20" s="14"/>
      <c r="T20" s="14"/>
      <c r="U20" s="94"/>
      <c r="V20" s="69"/>
      <c r="W20" s="14"/>
      <c r="X20" s="14"/>
      <c r="Y20" s="14"/>
      <c r="Z20" s="14"/>
      <c r="AA20" s="14"/>
      <c r="AB20" s="21"/>
      <c r="AC20" s="115"/>
      <c r="AD20" s="107"/>
      <c r="AE20" s="108"/>
      <c r="AF20" s="109"/>
      <c r="AG20" s="101"/>
      <c r="AH20" s="15"/>
    </row>
    <row r="21" spans="2:34" ht="15.75" x14ac:dyDescent="0.25">
      <c r="B21" s="73">
        <v>2018</v>
      </c>
      <c r="C21" s="76" t="s">
        <v>37</v>
      </c>
      <c r="D21" s="69"/>
      <c r="E21" s="69" t="s">
        <v>57</v>
      </c>
      <c r="F21" s="120">
        <v>42258</v>
      </c>
      <c r="G21" s="124"/>
      <c r="H21" s="45"/>
      <c r="I21" s="87" t="s">
        <v>154</v>
      </c>
      <c r="J21" s="87" t="s">
        <v>154</v>
      </c>
      <c r="K21" s="88" t="s">
        <v>154</v>
      </c>
      <c r="L21" s="81">
        <v>12</v>
      </c>
      <c r="M21" s="45">
        <v>12</v>
      </c>
      <c r="N21" s="45">
        <v>12</v>
      </c>
      <c r="O21" s="45">
        <v>12</v>
      </c>
      <c r="P21" s="45"/>
      <c r="Q21" s="60"/>
      <c r="R21" s="93" t="s">
        <v>203</v>
      </c>
      <c r="S21" s="14" t="s">
        <v>202</v>
      </c>
      <c r="T21" s="14" t="s">
        <v>175</v>
      </c>
      <c r="U21" s="94">
        <v>43397</v>
      </c>
      <c r="V21" s="69">
        <v>201</v>
      </c>
      <c r="W21" s="14">
        <v>31</v>
      </c>
      <c r="X21" s="14">
        <v>0</v>
      </c>
      <c r="Y21" s="14">
        <v>0</v>
      </c>
      <c r="Z21" s="14">
        <v>1</v>
      </c>
      <c r="AA21" s="14">
        <v>4.5</v>
      </c>
      <c r="AB21" s="21">
        <v>0.5</v>
      </c>
      <c r="AC21" s="115"/>
      <c r="AD21" s="107"/>
      <c r="AE21" s="108"/>
      <c r="AF21" s="109"/>
      <c r="AG21" s="101"/>
      <c r="AH21" s="15" t="s">
        <v>204</v>
      </c>
    </row>
    <row r="22" spans="2:34" ht="15.75" x14ac:dyDescent="0.25">
      <c r="B22" s="73">
        <v>2018</v>
      </c>
      <c r="C22" s="77" t="s">
        <v>40</v>
      </c>
      <c r="D22" s="70"/>
      <c r="E22" s="70" t="s">
        <v>56</v>
      </c>
      <c r="F22" s="121">
        <v>36590</v>
      </c>
      <c r="G22" s="84" t="s">
        <v>154</v>
      </c>
      <c r="H22" s="46"/>
      <c r="I22" s="87" t="s">
        <v>154</v>
      </c>
      <c r="J22" s="87" t="s">
        <v>154</v>
      </c>
      <c r="K22" s="88"/>
      <c r="L22" s="82"/>
      <c r="M22" s="46"/>
      <c r="N22" s="46"/>
      <c r="O22" s="46"/>
      <c r="P22" s="46"/>
      <c r="Q22" s="61"/>
      <c r="R22" s="95"/>
      <c r="S22" s="36"/>
      <c r="T22" s="36"/>
      <c r="U22" s="96"/>
      <c r="V22" s="70"/>
      <c r="W22" s="36"/>
      <c r="X22" s="36"/>
      <c r="Y22" s="36"/>
      <c r="Z22" s="36"/>
      <c r="AA22" s="36"/>
      <c r="AB22" s="35"/>
      <c r="AC22" s="116"/>
      <c r="AD22" s="107"/>
      <c r="AE22" s="108"/>
      <c r="AF22" s="110"/>
      <c r="AG22" s="102" t="s">
        <v>139</v>
      </c>
      <c r="AH22" s="37"/>
    </row>
    <row r="23" spans="2:34" s="38" customFormat="1" ht="15.75" x14ac:dyDescent="0.25">
      <c r="B23" s="73">
        <v>2018</v>
      </c>
      <c r="C23" s="77" t="s">
        <v>42</v>
      </c>
      <c r="D23" s="70"/>
      <c r="E23" s="70" t="s">
        <v>56</v>
      </c>
      <c r="F23" s="121">
        <v>36590</v>
      </c>
      <c r="G23" s="84" t="s">
        <v>154</v>
      </c>
      <c r="H23" s="46"/>
      <c r="I23" s="87" t="s">
        <v>154</v>
      </c>
      <c r="J23" s="87" t="s">
        <v>154</v>
      </c>
      <c r="K23" s="88"/>
      <c r="L23" s="82"/>
      <c r="M23" s="46"/>
      <c r="N23" s="46"/>
      <c r="O23" s="46"/>
      <c r="P23" s="46"/>
      <c r="Q23" s="61"/>
      <c r="R23" s="95"/>
      <c r="S23" s="36"/>
      <c r="T23" s="36"/>
      <c r="U23" s="96"/>
      <c r="V23" s="70"/>
      <c r="W23" s="36"/>
      <c r="X23" s="36"/>
      <c r="Y23" s="36"/>
      <c r="Z23" s="36"/>
      <c r="AA23" s="36"/>
      <c r="AB23" s="35"/>
      <c r="AC23" s="116"/>
      <c r="AD23" s="107"/>
      <c r="AE23" s="108"/>
      <c r="AF23" s="110"/>
      <c r="AG23" s="102" t="s">
        <v>140</v>
      </c>
      <c r="AH23" s="37"/>
    </row>
    <row r="24" spans="2:34" s="38" customFormat="1" ht="15.75" x14ac:dyDescent="0.25">
      <c r="B24" s="73">
        <v>2020</v>
      </c>
      <c r="C24" s="76" t="s">
        <v>27</v>
      </c>
      <c r="D24" s="69" t="s">
        <v>135</v>
      </c>
      <c r="E24" s="69" t="s">
        <v>57</v>
      </c>
      <c r="F24" s="120">
        <v>44192</v>
      </c>
      <c r="G24" s="124"/>
      <c r="H24" s="45"/>
      <c r="I24" s="87" t="s">
        <v>154</v>
      </c>
      <c r="J24" s="87" t="s">
        <v>154</v>
      </c>
      <c r="K24" s="88"/>
      <c r="L24" s="81"/>
      <c r="M24" s="45"/>
      <c r="N24" s="45"/>
      <c r="O24" s="45"/>
      <c r="P24" s="45"/>
      <c r="Q24" s="60"/>
      <c r="R24" s="93"/>
      <c r="S24" s="14"/>
      <c r="T24" s="14"/>
      <c r="U24" s="94"/>
      <c r="V24" s="69"/>
      <c r="W24" s="14"/>
      <c r="X24" s="14"/>
      <c r="Y24" s="14"/>
      <c r="Z24" s="14"/>
      <c r="AA24" s="14"/>
      <c r="AB24" s="21"/>
      <c r="AC24" s="115"/>
      <c r="AD24" s="107"/>
      <c r="AE24" s="108"/>
      <c r="AF24" s="109"/>
      <c r="AG24" s="101" t="s">
        <v>134</v>
      </c>
      <c r="AH24" s="15"/>
    </row>
    <row r="25" spans="2:34" ht="15.75" x14ac:dyDescent="0.25">
      <c r="B25" s="73">
        <v>2020</v>
      </c>
      <c r="C25" s="76" t="s">
        <v>50</v>
      </c>
      <c r="D25" s="69"/>
      <c r="E25" s="69" t="s">
        <v>58</v>
      </c>
      <c r="F25" s="126">
        <v>44326</v>
      </c>
      <c r="G25" s="124"/>
      <c r="H25" s="45"/>
      <c r="I25" s="87" t="s">
        <v>154</v>
      </c>
      <c r="J25" s="87" t="s">
        <v>154</v>
      </c>
      <c r="K25" s="88"/>
      <c r="L25" s="81"/>
      <c r="M25" s="45"/>
      <c r="N25" s="45"/>
      <c r="O25" s="45"/>
      <c r="P25" s="45"/>
      <c r="Q25" s="60"/>
      <c r="R25" s="93"/>
      <c r="S25" s="14"/>
      <c r="T25" s="14"/>
      <c r="U25" s="94"/>
      <c r="V25" s="69"/>
      <c r="W25" s="14"/>
      <c r="X25" s="14"/>
      <c r="Y25" s="14"/>
      <c r="Z25" s="14"/>
      <c r="AA25" s="14"/>
      <c r="AB25" s="21"/>
      <c r="AC25" s="115"/>
      <c r="AD25" s="107"/>
      <c r="AE25" s="108"/>
      <c r="AF25" s="109"/>
      <c r="AG25" s="101" t="s">
        <v>133</v>
      </c>
      <c r="AH25" s="15" t="s">
        <v>132</v>
      </c>
    </row>
    <row r="26" spans="2:34" ht="15.75" x14ac:dyDescent="0.25">
      <c r="B26" s="73">
        <v>2021</v>
      </c>
      <c r="C26" s="76" t="s">
        <v>38</v>
      </c>
      <c r="D26" s="69" t="s">
        <v>122</v>
      </c>
      <c r="E26" s="69" t="s">
        <v>56</v>
      </c>
      <c r="F26" s="120">
        <v>44375</v>
      </c>
      <c r="G26" s="124"/>
      <c r="H26" s="45"/>
      <c r="I26" s="87" t="s">
        <v>154</v>
      </c>
      <c r="J26" s="87"/>
      <c r="K26" s="88"/>
      <c r="L26" s="81"/>
      <c r="M26" s="45"/>
      <c r="N26" s="45"/>
      <c r="O26" s="45"/>
      <c r="P26" s="45"/>
      <c r="Q26" s="60"/>
      <c r="R26" s="93"/>
      <c r="S26" s="14"/>
      <c r="T26" s="14"/>
      <c r="U26" s="94"/>
      <c r="V26" s="69"/>
      <c r="W26" s="14"/>
      <c r="X26" s="14"/>
      <c r="Y26" s="14"/>
      <c r="Z26" s="14"/>
      <c r="AA26" s="14"/>
      <c r="AB26" s="21"/>
      <c r="AC26" s="115"/>
      <c r="AD26" s="107"/>
      <c r="AE26" s="108"/>
      <c r="AF26" s="109"/>
      <c r="AG26" s="101"/>
      <c r="AH26" s="15" t="s">
        <v>156</v>
      </c>
    </row>
    <row r="27" spans="2:34" ht="15.75" x14ac:dyDescent="0.25">
      <c r="B27" s="73">
        <v>2023</v>
      </c>
      <c r="C27" s="76" t="s">
        <v>215</v>
      </c>
      <c r="D27" s="69" t="s">
        <v>27</v>
      </c>
      <c r="E27" s="69" t="s">
        <v>57</v>
      </c>
      <c r="F27" s="120">
        <v>41217</v>
      </c>
      <c r="G27" s="124"/>
      <c r="H27" s="45"/>
      <c r="I27" s="87" t="s">
        <v>154</v>
      </c>
      <c r="J27" s="87"/>
      <c r="K27" s="88"/>
      <c r="L27" s="81"/>
      <c r="M27" s="45"/>
      <c r="N27" s="45"/>
      <c r="O27" s="45"/>
      <c r="P27" s="45"/>
      <c r="Q27" s="60"/>
      <c r="R27" s="93"/>
      <c r="S27" s="14"/>
      <c r="T27" s="14"/>
      <c r="U27" s="94"/>
      <c r="V27" s="69"/>
      <c r="W27" s="14"/>
      <c r="X27" s="14"/>
      <c r="Y27" s="14"/>
      <c r="Z27" s="14"/>
      <c r="AA27" s="14"/>
      <c r="AB27" s="21"/>
      <c r="AC27" s="115"/>
      <c r="AD27" s="107"/>
      <c r="AE27" s="108"/>
      <c r="AF27" s="109"/>
      <c r="AG27" s="101"/>
      <c r="AH27" s="15"/>
    </row>
    <row r="28" spans="2:34" s="38" customFormat="1" ht="15.75" x14ac:dyDescent="0.25">
      <c r="B28" s="73">
        <v>2023</v>
      </c>
      <c r="C28" s="76" t="s">
        <v>36</v>
      </c>
      <c r="D28" s="69" t="s">
        <v>27</v>
      </c>
      <c r="E28" s="69" t="s">
        <v>57</v>
      </c>
      <c r="F28" s="120">
        <v>41217</v>
      </c>
      <c r="G28" s="124"/>
      <c r="H28" s="45"/>
      <c r="I28" s="87" t="s">
        <v>154</v>
      </c>
      <c r="J28" s="87" t="s">
        <v>154</v>
      </c>
      <c r="K28" s="88"/>
      <c r="L28" s="81"/>
      <c r="M28" s="45"/>
      <c r="N28" s="45"/>
      <c r="O28" s="45"/>
      <c r="P28" s="45"/>
      <c r="Q28" s="60"/>
      <c r="R28" s="93"/>
      <c r="S28" s="14"/>
      <c r="T28" s="14"/>
      <c r="U28" s="94"/>
      <c r="V28" s="69"/>
      <c r="W28" s="14"/>
      <c r="X28" s="14"/>
      <c r="Y28" s="14"/>
      <c r="Z28" s="14"/>
      <c r="AA28" s="14"/>
      <c r="AB28" s="21"/>
      <c r="AC28" s="115"/>
      <c r="AD28" s="107"/>
      <c r="AE28" s="108"/>
      <c r="AF28" s="109"/>
      <c r="AG28" s="101"/>
      <c r="AH28" s="15" t="s">
        <v>221</v>
      </c>
    </row>
    <row r="29" spans="2:34" ht="15.75" x14ac:dyDescent="0.25">
      <c r="B29" s="73">
        <v>2024</v>
      </c>
      <c r="C29" s="77" t="s">
        <v>162</v>
      </c>
      <c r="D29" s="70"/>
      <c r="E29" s="70" t="s">
        <v>28</v>
      </c>
      <c r="F29" s="121">
        <v>45604</v>
      </c>
      <c r="G29" s="84" t="s">
        <v>154</v>
      </c>
      <c r="H29" s="46" t="s">
        <v>154</v>
      </c>
      <c r="I29" s="87" t="s">
        <v>154</v>
      </c>
      <c r="J29" s="87" t="s">
        <v>154</v>
      </c>
      <c r="K29" s="88" t="s">
        <v>154</v>
      </c>
      <c r="L29" s="82">
        <v>16</v>
      </c>
      <c r="M29" s="46">
        <v>16</v>
      </c>
      <c r="N29" s="46">
        <v>20</v>
      </c>
      <c r="O29" s="46">
        <v>16</v>
      </c>
      <c r="P29" s="46"/>
      <c r="Q29" s="61" t="s">
        <v>199</v>
      </c>
      <c r="R29" s="95" t="s">
        <v>160</v>
      </c>
      <c r="S29" s="36" t="s">
        <v>158</v>
      </c>
      <c r="T29" s="36" t="s">
        <v>217</v>
      </c>
      <c r="U29" s="96">
        <v>45994</v>
      </c>
      <c r="V29" s="70">
        <v>397</v>
      </c>
      <c r="W29" s="36">
        <v>73</v>
      </c>
      <c r="X29" s="36">
        <v>1</v>
      </c>
      <c r="Y29" s="36">
        <v>0.5</v>
      </c>
      <c r="Z29" s="36">
        <v>1</v>
      </c>
      <c r="AA29" s="52">
        <v>18</v>
      </c>
      <c r="AB29" s="35">
        <v>0.67</v>
      </c>
      <c r="AC29" s="116">
        <f>AB29*1000000/(V29*AA29)</f>
        <v>93.758746151693259</v>
      </c>
      <c r="AD29" s="107" t="s">
        <v>154</v>
      </c>
      <c r="AE29" s="108"/>
      <c r="AF29" s="110"/>
      <c r="AG29" s="102" t="s">
        <v>141</v>
      </c>
      <c r="AH29" s="37" t="s">
        <v>159</v>
      </c>
    </row>
    <row r="30" spans="2:34" s="38" customFormat="1" ht="15.75" x14ac:dyDescent="0.25">
      <c r="B30" s="73">
        <v>2024</v>
      </c>
      <c r="C30" s="77" t="s">
        <v>163</v>
      </c>
      <c r="D30" s="70"/>
      <c r="E30" s="70" t="s">
        <v>28</v>
      </c>
      <c r="F30" s="121">
        <v>45635</v>
      </c>
      <c r="G30" s="84" t="s">
        <v>154</v>
      </c>
      <c r="H30" s="46"/>
      <c r="I30" s="87" t="s">
        <v>154</v>
      </c>
      <c r="J30" s="87" t="s">
        <v>154</v>
      </c>
      <c r="K30" s="88" t="s">
        <v>154</v>
      </c>
      <c r="L30" s="82">
        <v>16</v>
      </c>
      <c r="M30" s="46">
        <v>16</v>
      </c>
      <c r="N30" s="46">
        <v>20</v>
      </c>
      <c r="O30" s="46">
        <v>16</v>
      </c>
      <c r="P30" s="46"/>
      <c r="Q30" s="61" t="s">
        <v>199</v>
      </c>
      <c r="R30" s="95" t="s">
        <v>160</v>
      </c>
      <c r="S30" s="36" t="s">
        <v>158</v>
      </c>
      <c r="T30" s="36" t="s">
        <v>217</v>
      </c>
      <c r="U30" s="96">
        <v>45994</v>
      </c>
      <c r="V30" s="70">
        <v>632</v>
      </c>
      <c r="W30" s="36">
        <v>72</v>
      </c>
      <c r="X30" s="36">
        <v>1</v>
      </c>
      <c r="Y30" s="36">
        <v>0.5</v>
      </c>
      <c r="Z30" s="36">
        <v>1</v>
      </c>
      <c r="AA30" s="36">
        <v>17.8</v>
      </c>
      <c r="AB30" s="35">
        <v>0.67</v>
      </c>
      <c r="AC30" s="116">
        <f>AB30*1000000/(V30*AA30)</f>
        <v>59.557673161712415</v>
      </c>
      <c r="AD30" s="107" t="s">
        <v>154</v>
      </c>
      <c r="AE30" s="108"/>
      <c r="AF30" s="110"/>
      <c r="AG30" s="102" t="s">
        <v>141</v>
      </c>
      <c r="AH30" s="37" t="s">
        <v>159</v>
      </c>
    </row>
    <row r="31" spans="2:34" s="38" customFormat="1" ht="15.75" x14ac:dyDescent="0.25">
      <c r="B31" s="73">
        <v>2024</v>
      </c>
      <c r="C31" s="77" t="s">
        <v>53</v>
      </c>
      <c r="D31" s="70"/>
      <c r="E31" s="70" t="s">
        <v>28</v>
      </c>
      <c r="F31" s="121">
        <v>45635</v>
      </c>
      <c r="G31" s="84" t="s">
        <v>154</v>
      </c>
      <c r="H31" s="46"/>
      <c r="I31" s="87" t="s">
        <v>154</v>
      </c>
      <c r="J31" s="87" t="s">
        <v>154</v>
      </c>
      <c r="K31" s="88"/>
      <c r="L31" s="82" t="s">
        <v>193</v>
      </c>
      <c r="M31" s="46" t="s">
        <v>192</v>
      </c>
      <c r="N31" s="46">
        <v>32</v>
      </c>
      <c r="O31" s="46">
        <v>24</v>
      </c>
      <c r="P31" s="46"/>
      <c r="Q31" s="61" t="s">
        <v>200</v>
      </c>
      <c r="R31" s="95"/>
      <c r="S31" s="36"/>
      <c r="T31" s="36"/>
      <c r="U31" s="96"/>
      <c r="V31" s="70"/>
      <c r="W31" s="36"/>
      <c r="X31" s="36"/>
      <c r="Y31" s="36"/>
      <c r="Z31" s="36"/>
      <c r="AA31" s="36"/>
      <c r="AB31" s="35"/>
      <c r="AC31" s="116"/>
      <c r="AD31" s="107"/>
      <c r="AE31" s="108"/>
      <c r="AF31" s="110"/>
      <c r="AG31" s="102"/>
      <c r="AH31" s="127" t="s">
        <v>222</v>
      </c>
    </row>
    <row r="32" spans="2:34" s="38" customFormat="1" ht="15.75" x14ac:dyDescent="0.25">
      <c r="B32" s="73">
        <v>2025</v>
      </c>
      <c r="C32" s="76" t="s">
        <v>216</v>
      </c>
      <c r="D32" s="69"/>
      <c r="E32" s="69" t="s">
        <v>57</v>
      </c>
      <c r="F32" s="120">
        <v>45903</v>
      </c>
      <c r="G32" s="124"/>
      <c r="H32" s="45"/>
      <c r="I32" s="87" t="s">
        <v>154</v>
      </c>
      <c r="J32" s="87"/>
      <c r="K32" s="88"/>
      <c r="L32" s="81"/>
      <c r="M32" s="45"/>
      <c r="N32" s="45"/>
      <c r="O32" s="45"/>
      <c r="P32" s="45"/>
      <c r="Q32" s="60"/>
      <c r="R32" s="93"/>
      <c r="S32" s="14"/>
      <c r="T32" s="14"/>
      <c r="U32" s="94"/>
      <c r="V32" s="69"/>
      <c r="W32" s="14"/>
      <c r="X32" s="14"/>
      <c r="Y32" s="14"/>
      <c r="Z32" s="14"/>
      <c r="AA32" s="14"/>
      <c r="AB32" s="21"/>
      <c r="AC32" s="115"/>
      <c r="AD32" s="107"/>
      <c r="AE32" s="108"/>
      <c r="AF32" s="109"/>
      <c r="AG32" s="101"/>
      <c r="AH32" s="15"/>
    </row>
    <row r="33" spans="2:34" ht="16.5" thickBot="1" x14ac:dyDescent="0.3">
      <c r="B33" s="74"/>
      <c r="C33" s="79"/>
      <c r="D33" s="71"/>
      <c r="E33" s="71"/>
      <c r="F33" s="122"/>
      <c r="G33" s="125"/>
      <c r="H33" s="47"/>
      <c r="I33" s="89"/>
      <c r="J33" s="89"/>
      <c r="K33" s="90"/>
      <c r="L33" s="83"/>
      <c r="M33" s="47"/>
      <c r="N33" s="47"/>
      <c r="O33" s="47"/>
      <c r="P33" s="47"/>
      <c r="Q33" s="62"/>
      <c r="R33" s="98"/>
      <c r="S33" s="18"/>
      <c r="T33" s="18"/>
      <c r="U33" s="99"/>
      <c r="V33" s="71"/>
      <c r="W33" s="18"/>
      <c r="X33" s="18"/>
      <c r="Y33" s="18"/>
      <c r="Z33" s="18"/>
      <c r="AA33" s="18"/>
      <c r="AB33" s="22"/>
      <c r="AC33" s="118"/>
      <c r="AD33" s="111"/>
      <c r="AE33" s="112"/>
      <c r="AF33" s="113"/>
      <c r="AG33" s="103"/>
      <c r="AH33" s="19"/>
    </row>
    <row r="34" spans="2:34" s="38" customFormat="1" ht="15.75" x14ac:dyDescent="0.25">
      <c r="C34" s="63">
        <v>26</v>
      </c>
      <c r="E34" s="63">
        <f>COUNTA(E5:E33)</f>
        <v>28</v>
      </c>
      <c r="F34" s="64"/>
      <c r="G34" s="63">
        <f>COUNTIF(G5:G33,"Y")</f>
        <v>14</v>
      </c>
      <c r="H34" s="63">
        <f>COUNTIF(H5:H33,"Y")</f>
        <v>6</v>
      </c>
      <c r="I34" s="63">
        <f>COUNTIF(I5:I33,"Y")</f>
        <v>25</v>
      </c>
      <c r="J34" s="63">
        <f>COUNTIF(J5:J33,"Y")</f>
        <v>20</v>
      </c>
      <c r="K34" s="63">
        <f>COUNTIF(K5:K33,"Y")</f>
        <v>14</v>
      </c>
      <c r="L34" s="63"/>
      <c r="M34" s="63"/>
      <c r="N34" s="63"/>
      <c r="O34" s="63"/>
      <c r="P34" s="63"/>
      <c r="Q34" s="63"/>
      <c r="R34" s="63">
        <f>COUNTA(R5:R33)</f>
        <v>15</v>
      </c>
      <c r="U34" s="65"/>
      <c r="AA34" s="63">
        <f>COUNTA(AA5:AA33)</f>
        <v>12</v>
      </c>
      <c r="AC34" s="63">
        <f>COUNTA(AC5:AC33)</f>
        <v>11</v>
      </c>
      <c r="AD34" s="63">
        <f>COUNTIF(AD5:AD33,"Y")</f>
        <v>10</v>
      </c>
      <c r="AE34" s="63">
        <f>COUNTIF(AE5:AE33,"Y")</f>
        <v>8</v>
      </c>
      <c r="AF34" s="63">
        <f>COUNTIF(AF5:AF33,"Y")</f>
        <v>1</v>
      </c>
      <c r="AH34" s="66" t="s">
        <v>214</v>
      </c>
    </row>
    <row r="35" spans="2:34" ht="6" customHeight="1" x14ac:dyDescent="0.25">
      <c r="C35" s="43"/>
      <c r="AA35" s="43"/>
      <c r="AC35" s="43"/>
    </row>
    <row r="36" spans="2:34" x14ac:dyDescent="0.25">
      <c r="C36" t="s">
        <v>186</v>
      </c>
      <c r="E36" t="s">
        <v>195</v>
      </c>
      <c r="R36" t="s">
        <v>187</v>
      </c>
      <c r="T36" t="s">
        <v>191</v>
      </c>
      <c r="Y36" t="s">
        <v>194</v>
      </c>
      <c r="AA36" t="s">
        <v>196</v>
      </c>
      <c r="AB36" s="42"/>
    </row>
    <row r="37" spans="2:34" x14ac:dyDescent="0.25">
      <c r="C37" t="s">
        <v>190</v>
      </c>
      <c r="E37" t="s">
        <v>197</v>
      </c>
    </row>
    <row r="38" spans="2:34" ht="15.75" x14ac:dyDescent="0.25">
      <c r="B38" s="66" t="s">
        <v>243</v>
      </c>
    </row>
    <row r="39" spans="2:34" x14ac:dyDescent="0.25">
      <c r="C39" t="s">
        <v>218</v>
      </c>
      <c r="D39" t="s">
        <v>244</v>
      </c>
    </row>
    <row r="40" spans="2:34" x14ac:dyDescent="0.25">
      <c r="C40" t="s">
        <v>1</v>
      </c>
      <c r="D40" t="s">
        <v>245</v>
      </c>
    </row>
    <row r="41" spans="2:34" x14ac:dyDescent="0.25">
      <c r="C41" t="s">
        <v>18</v>
      </c>
      <c r="D41" t="s">
        <v>246</v>
      </c>
    </row>
    <row r="42" spans="2:34" x14ac:dyDescent="0.25">
      <c r="C42" t="s">
        <v>13</v>
      </c>
      <c r="D42" t="s">
        <v>275</v>
      </c>
    </row>
    <row r="43" spans="2:34" x14ac:dyDescent="0.25">
      <c r="C43" t="s">
        <v>112</v>
      </c>
      <c r="D43" t="s">
        <v>247</v>
      </c>
    </row>
    <row r="44" spans="2:34" x14ac:dyDescent="0.25">
      <c r="C44" t="s">
        <v>34</v>
      </c>
      <c r="D44" t="s">
        <v>248</v>
      </c>
    </row>
    <row r="45" spans="2:34" x14ac:dyDescent="0.25">
      <c r="C45" t="s">
        <v>219</v>
      </c>
      <c r="D45" t="s">
        <v>249</v>
      </c>
    </row>
    <row r="46" spans="2:34" x14ac:dyDescent="0.25">
      <c r="C46" t="s">
        <v>220</v>
      </c>
      <c r="D46" t="s">
        <v>250</v>
      </c>
    </row>
    <row r="47" spans="2:34" x14ac:dyDescent="0.25">
      <c r="C47" t="s">
        <v>5</v>
      </c>
      <c r="D47" t="s">
        <v>251</v>
      </c>
    </row>
    <row r="48" spans="2:34" x14ac:dyDescent="0.25">
      <c r="C48" t="s">
        <v>6</v>
      </c>
      <c r="D48" t="s">
        <v>252</v>
      </c>
    </row>
    <row r="49" spans="3:4" x14ac:dyDescent="0.25">
      <c r="C49" t="s">
        <v>180</v>
      </c>
      <c r="D49" t="s">
        <v>253</v>
      </c>
    </row>
    <row r="50" spans="3:4" x14ac:dyDescent="0.25">
      <c r="C50" t="s">
        <v>181</v>
      </c>
      <c r="D50" t="s">
        <v>254</v>
      </c>
    </row>
    <row r="51" spans="3:4" x14ac:dyDescent="0.25">
      <c r="C51" t="s">
        <v>188</v>
      </c>
      <c r="D51" t="s">
        <v>256</v>
      </c>
    </row>
    <row r="52" spans="3:4" x14ac:dyDescent="0.25">
      <c r="C52" t="s">
        <v>189</v>
      </c>
      <c r="D52" t="s">
        <v>255</v>
      </c>
    </row>
    <row r="53" spans="3:4" x14ac:dyDescent="0.25">
      <c r="C53" t="s">
        <v>182</v>
      </c>
      <c r="D53" t="s">
        <v>257</v>
      </c>
    </row>
    <row r="54" spans="3:4" x14ac:dyDescent="0.25">
      <c r="C54" t="s">
        <v>194</v>
      </c>
      <c r="D54" t="s">
        <v>258</v>
      </c>
    </row>
    <row r="55" spans="3:4" x14ac:dyDescent="0.25">
      <c r="C55" t="s">
        <v>15</v>
      </c>
      <c r="D55" t="s">
        <v>259</v>
      </c>
    </row>
    <row r="56" spans="3:4" x14ac:dyDescent="0.25">
      <c r="C56" t="s">
        <v>14</v>
      </c>
      <c r="D56" t="s">
        <v>260</v>
      </c>
    </row>
    <row r="57" spans="3:4" x14ac:dyDescent="0.25">
      <c r="C57" t="s">
        <v>19</v>
      </c>
      <c r="D57" t="s">
        <v>261</v>
      </c>
    </row>
    <row r="58" spans="3:4" x14ac:dyDescent="0.25">
      <c r="C58" t="s">
        <v>17</v>
      </c>
      <c r="D58" t="s">
        <v>262</v>
      </c>
    </row>
    <row r="59" spans="3:4" x14ac:dyDescent="0.25">
      <c r="C59" t="s">
        <v>7</v>
      </c>
      <c r="D59" t="s">
        <v>263</v>
      </c>
    </row>
    <row r="60" spans="3:4" x14ac:dyDescent="0.25">
      <c r="C60" t="s">
        <v>8</v>
      </c>
      <c r="D60" t="s">
        <v>264</v>
      </c>
    </row>
    <row r="61" spans="3:4" x14ac:dyDescent="0.25">
      <c r="C61" t="s">
        <v>166</v>
      </c>
      <c r="D61" t="s">
        <v>265</v>
      </c>
    </row>
    <row r="62" spans="3:4" x14ac:dyDescent="0.25">
      <c r="C62" t="s">
        <v>10</v>
      </c>
      <c r="D62" t="s">
        <v>266</v>
      </c>
    </row>
    <row r="63" spans="3:4" x14ac:dyDescent="0.25">
      <c r="C63" t="s">
        <v>169</v>
      </c>
      <c r="D63" t="s">
        <v>267</v>
      </c>
    </row>
    <row r="64" spans="3:4" x14ac:dyDescent="0.25">
      <c r="C64" t="s">
        <v>161</v>
      </c>
      <c r="D64" t="s">
        <v>268</v>
      </c>
    </row>
    <row r="65" spans="3:4" x14ac:dyDescent="0.25">
      <c r="C65" t="s">
        <v>168</v>
      </c>
      <c r="D65" t="s">
        <v>269</v>
      </c>
    </row>
    <row r="66" spans="3:4" x14ac:dyDescent="0.25">
      <c r="C66" t="s">
        <v>165</v>
      </c>
      <c r="D66" t="s">
        <v>270</v>
      </c>
    </row>
    <row r="67" spans="3:4" x14ac:dyDescent="0.25">
      <c r="C67" t="s">
        <v>143</v>
      </c>
      <c r="D67" t="s">
        <v>271</v>
      </c>
    </row>
    <row r="68" spans="3:4" x14ac:dyDescent="0.25">
      <c r="C68" t="s">
        <v>167</v>
      </c>
      <c r="D68" t="s">
        <v>272</v>
      </c>
    </row>
    <row r="69" spans="3:4" x14ac:dyDescent="0.25">
      <c r="C69" t="s">
        <v>201</v>
      </c>
      <c r="D69" t="s">
        <v>273</v>
      </c>
    </row>
    <row r="70" spans="3:4" x14ac:dyDescent="0.25">
      <c r="C70" t="s">
        <v>142</v>
      </c>
      <c r="D70" t="s">
        <v>274</v>
      </c>
    </row>
    <row r="71" spans="3:4" x14ac:dyDescent="0.25">
      <c r="C71" t="s">
        <v>12</v>
      </c>
    </row>
  </sheetData>
  <sortState ref="B5:AH32">
    <sortCondition ref="B5:B32"/>
    <sortCondition ref="C5:C3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51"/>
  <sheetViews>
    <sheetView workbookViewId="0">
      <selection activeCell="H28" sqref="H28"/>
    </sheetView>
  </sheetViews>
  <sheetFormatPr defaultRowHeight="15" x14ac:dyDescent="0.25"/>
  <cols>
    <col min="1" max="1" width="2.7109375" customWidth="1"/>
    <col min="2" max="2" width="15.28515625" customWidth="1"/>
    <col min="3" max="3" width="9.28515625" customWidth="1"/>
    <col min="4" max="4" width="8.28515625" style="5" customWidth="1"/>
    <col min="5" max="5" width="7.85546875" style="5" customWidth="1"/>
    <col min="6" max="6" width="6.7109375" customWidth="1"/>
    <col min="7" max="8" width="5.42578125" customWidth="1"/>
    <col min="9" max="9" width="4.28515625" customWidth="1"/>
    <col min="10" max="10" width="4.140625" customWidth="1"/>
    <col min="11" max="11" width="11.5703125" customWidth="1"/>
    <col min="12" max="12" width="9" customWidth="1"/>
    <col min="13" max="13" width="8" customWidth="1"/>
    <col min="14" max="14" width="7.140625" style="5" customWidth="1"/>
    <col min="15" max="15" width="7" customWidth="1"/>
    <col min="16" max="16" width="6.85546875" customWidth="1"/>
    <col min="17" max="17" width="5.140625" customWidth="1"/>
    <col min="18" max="20" width="6" customWidth="1"/>
    <col min="21" max="21" width="6.42578125" customWidth="1"/>
    <col min="22" max="22" width="4.7109375" customWidth="1"/>
    <col min="23" max="23" width="67" customWidth="1"/>
  </cols>
  <sheetData>
    <row r="1" spans="2:32" s="2" customFormat="1" ht="21" x14ac:dyDescent="0.35">
      <c r="C1" s="2" t="s">
        <v>24</v>
      </c>
      <c r="E1" s="4"/>
      <c r="F1" s="3" t="s">
        <v>0</v>
      </c>
      <c r="G1" s="3"/>
      <c r="N1" s="4"/>
    </row>
    <row r="2" spans="2:32" ht="9" customHeight="1" thickBot="1" x14ac:dyDescent="0.3"/>
    <row r="3" spans="2:32" s="1" customFormat="1" ht="30" customHeight="1" thickBot="1" x14ac:dyDescent="0.3">
      <c r="B3" s="6" t="s">
        <v>151</v>
      </c>
      <c r="C3" s="8" t="s">
        <v>13</v>
      </c>
      <c r="D3" s="7" t="s">
        <v>2</v>
      </c>
      <c r="E3" s="7" t="s">
        <v>3</v>
      </c>
      <c r="F3" s="8" t="s">
        <v>34</v>
      </c>
      <c r="G3" s="8" t="s">
        <v>33</v>
      </c>
      <c r="H3" s="8" t="s">
        <v>4</v>
      </c>
      <c r="I3" s="8" t="s">
        <v>5</v>
      </c>
      <c r="J3" s="8" t="s">
        <v>6</v>
      </c>
      <c r="K3" s="8" t="s">
        <v>15</v>
      </c>
      <c r="L3" s="8" t="s">
        <v>14</v>
      </c>
      <c r="M3" s="8" t="s">
        <v>19</v>
      </c>
      <c r="N3" s="7" t="s">
        <v>17</v>
      </c>
      <c r="O3" s="8" t="s">
        <v>7</v>
      </c>
      <c r="P3" s="8" t="s">
        <v>8</v>
      </c>
      <c r="Q3" s="8" t="s">
        <v>9</v>
      </c>
      <c r="R3" s="8" t="s">
        <v>10</v>
      </c>
      <c r="S3" s="8" t="s">
        <v>20</v>
      </c>
      <c r="T3" s="8" t="s">
        <v>21</v>
      </c>
      <c r="U3" s="8" t="s">
        <v>11</v>
      </c>
      <c r="V3" s="8" t="s">
        <v>16</v>
      </c>
      <c r="W3" s="9" t="s">
        <v>12</v>
      </c>
    </row>
    <row r="4" spans="2:32" ht="9" customHeight="1" thickBot="1" x14ac:dyDescent="0.3"/>
    <row r="5" spans="2:32" ht="15.75" x14ac:dyDescent="0.25">
      <c r="B5" s="128" t="s">
        <v>22</v>
      </c>
      <c r="C5" s="11" t="s">
        <v>149</v>
      </c>
      <c r="D5" s="10"/>
      <c r="E5" s="10"/>
      <c r="F5" s="11"/>
      <c r="G5" s="11"/>
      <c r="H5" s="11"/>
      <c r="I5" s="11"/>
      <c r="J5" s="11"/>
      <c r="K5" s="11"/>
      <c r="L5" s="11"/>
      <c r="M5" s="11"/>
      <c r="N5" s="10"/>
      <c r="O5" s="11"/>
      <c r="P5" s="11"/>
      <c r="Q5" s="11"/>
      <c r="R5" s="11"/>
      <c r="S5" s="11"/>
      <c r="T5" s="11"/>
      <c r="U5" s="11"/>
      <c r="V5" s="11"/>
      <c r="W5" s="12" t="s">
        <v>23</v>
      </c>
    </row>
    <row r="6" spans="2:32" ht="15.75" x14ac:dyDescent="0.25">
      <c r="B6" s="34" t="s">
        <v>55</v>
      </c>
      <c r="C6" s="26" t="s">
        <v>55</v>
      </c>
      <c r="D6" s="33"/>
      <c r="E6" s="33"/>
      <c r="F6" s="26"/>
      <c r="G6" s="26"/>
      <c r="H6" s="26"/>
      <c r="I6" s="26"/>
      <c r="J6" s="26"/>
      <c r="K6" s="26"/>
      <c r="L6" s="26"/>
      <c r="M6" s="26"/>
      <c r="N6" s="33"/>
      <c r="O6" s="26"/>
      <c r="P6" s="26"/>
      <c r="Q6" s="26"/>
      <c r="R6" s="26"/>
      <c r="S6" s="26"/>
      <c r="T6" s="26"/>
      <c r="U6" s="26"/>
      <c r="V6" s="26"/>
      <c r="W6" s="27" t="s">
        <v>148</v>
      </c>
    </row>
    <row r="7" spans="2:32" ht="15.75" x14ac:dyDescent="0.25">
      <c r="B7" s="34" t="s">
        <v>25</v>
      </c>
      <c r="C7" s="14"/>
      <c r="D7" s="13"/>
      <c r="E7" s="13"/>
      <c r="F7" s="14"/>
      <c r="G7" s="14"/>
      <c r="H7" s="14"/>
      <c r="I7" s="14"/>
      <c r="J7" s="14"/>
      <c r="K7" s="14"/>
      <c r="L7" s="14"/>
      <c r="M7" s="14"/>
      <c r="N7" s="13"/>
      <c r="O7" s="14"/>
      <c r="P7" s="14"/>
      <c r="Q7" s="14"/>
      <c r="R7" s="14"/>
      <c r="S7" s="14"/>
      <c r="T7" s="14"/>
      <c r="U7" s="14"/>
      <c r="V7" s="14"/>
      <c r="W7" s="15" t="s">
        <v>147</v>
      </c>
    </row>
    <row r="8" spans="2:32" ht="15.75" x14ac:dyDescent="0.25">
      <c r="B8" s="34" t="s">
        <v>26</v>
      </c>
      <c r="C8" s="14" t="s">
        <v>55</v>
      </c>
      <c r="D8" s="13"/>
      <c r="E8" s="13"/>
      <c r="F8" s="14"/>
      <c r="G8" s="14"/>
      <c r="H8" s="14"/>
      <c r="I8" s="14"/>
      <c r="J8" s="14"/>
      <c r="K8" s="14"/>
      <c r="L8" s="14"/>
      <c r="M8" s="14"/>
      <c r="N8" s="13"/>
      <c r="O8" s="14"/>
      <c r="P8" s="14"/>
      <c r="Q8" s="14"/>
      <c r="R8" s="14"/>
      <c r="S8" s="14"/>
      <c r="T8" s="14"/>
      <c r="U8" s="14"/>
      <c r="V8" s="14"/>
      <c r="W8" s="15" t="s">
        <v>29</v>
      </c>
    </row>
    <row r="9" spans="2:32" ht="15.75" x14ac:dyDescent="0.25">
      <c r="B9" s="34" t="s">
        <v>145</v>
      </c>
      <c r="C9" s="14"/>
      <c r="D9" s="13"/>
      <c r="E9" s="13"/>
      <c r="F9" s="14"/>
      <c r="G9" s="14"/>
      <c r="H9" s="14"/>
      <c r="I9" s="14"/>
      <c r="J9" s="14"/>
      <c r="K9" s="14"/>
      <c r="L9" s="14"/>
      <c r="M9" s="14"/>
      <c r="N9" s="13"/>
      <c r="O9" s="14"/>
      <c r="P9" s="14"/>
      <c r="Q9" s="14"/>
      <c r="R9" s="14"/>
      <c r="S9" s="14"/>
      <c r="T9" s="14"/>
      <c r="U9" s="14"/>
      <c r="V9" s="14"/>
      <c r="W9" s="15" t="s">
        <v>146</v>
      </c>
    </row>
    <row r="10" spans="2:32" ht="15.75" x14ac:dyDescent="0.25">
      <c r="B10" s="34" t="s">
        <v>27</v>
      </c>
      <c r="C10" s="14" t="s">
        <v>57</v>
      </c>
      <c r="D10" s="13"/>
      <c r="E10" s="13"/>
      <c r="F10" s="14"/>
      <c r="G10" s="14"/>
      <c r="H10" s="14"/>
      <c r="I10" s="14"/>
      <c r="J10" s="14"/>
      <c r="K10" s="14"/>
      <c r="L10" s="14"/>
      <c r="M10" s="14"/>
      <c r="N10" s="13"/>
      <c r="O10" s="14"/>
      <c r="P10" s="14"/>
      <c r="Q10" s="14"/>
      <c r="R10" s="14"/>
      <c r="S10" s="14"/>
      <c r="T10" s="14"/>
      <c r="U10" s="14"/>
      <c r="V10" s="14"/>
      <c r="W10" s="15" t="s">
        <v>30</v>
      </c>
    </row>
    <row r="11" spans="2:32" ht="15.75" x14ac:dyDescent="0.25">
      <c r="B11" s="34" t="s">
        <v>144</v>
      </c>
      <c r="C11" s="14"/>
      <c r="D11" s="13"/>
      <c r="E11" s="13"/>
      <c r="F11" s="14"/>
      <c r="G11" s="14"/>
      <c r="H11" s="14"/>
      <c r="I11" s="14"/>
      <c r="J11" s="14"/>
      <c r="K11" s="14"/>
      <c r="L11" s="14"/>
      <c r="M11" s="14"/>
      <c r="N11" s="13"/>
      <c r="O11" s="14"/>
      <c r="P11" s="14"/>
      <c r="Q11" s="14"/>
      <c r="R11" s="14"/>
      <c r="S11" s="14"/>
      <c r="T11" s="14"/>
      <c r="U11" s="14"/>
      <c r="V11" s="14"/>
      <c r="W11" s="15" t="s">
        <v>59</v>
      </c>
    </row>
    <row r="12" spans="2:32" ht="15.75" x14ac:dyDescent="0.25">
      <c r="B12" s="34" t="s">
        <v>152</v>
      </c>
      <c r="C12" s="14" t="s">
        <v>58</v>
      </c>
      <c r="D12" s="13"/>
      <c r="E12" s="13"/>
      <c r="F12" s="14"/>
      <c r="G12" s="14"/>
      <c r="H12" s="14"/>
      <c r="I12" s="14"/>
      <c r="J12" s="14"/>
      <c r="K12" s="14"/>
      <c r="L12" s="14"/>
      <c r="M12" s="14"/>
      <c r="N12" s="13"/>
      <c r="O12" s="14"/>
      <c r="P12" s="14"/>
      <c r="Q12" s="14"/>
      <c r="R12" s="14"/>
      <c r="S12" s="14"/>
      <c r="T12" s="14"/>
      <c r="U12" s="14"/>
      <c r="V12" s="14"/>
      <c r="W12" s="15" t="s">
        <v>32</v>
      </c>
    </row>
    <row r="13" spans="2:32" ht="15.75" x14ac:dyDescent="0.25">
      <c r="B13" s="34" t="s">
        <v>28</v>
      </c>
      <c r="C13" s="14" t="s">
        <v>150</v>
      </c>
      <c r="D13" s="13"/>
      <c r="E13" s="13"/>
      <c r="F13" s="14"/>
      <c r="G13" s="14"/>
      <c r="H13" s="14"/>
      <c r="I13" s="14"/>
      <c r="J13" s="14"/>
      <c r="K13" s="14"/>
      <c r="L13" s="14"/>
      <c r="M13" s="14"/>
      <c r="N13" s="13"/>
      <c r="O13" s="14"/>
      <c r="P13" s="14"/>
      <c r="Q13" s="14"/>
      <c r="R13" s="14"/>
      <c r="S13" s="14"/>
      <c r="T13" s="14"/>
      <c r="U13" s="14"/>
      <c r="V13" s="14"/>
      <c r="W13" s="15" t="s">
        <v>31</v>
      </c>
    </row>
    <row r="14" spans="2:32" ht="15.75" thickBot="1" x14ac:dyDescent="0.3">
      <c r="B14" s="16"/>
      <c r="C14" s="18"/>
      <c r="D14" s="17"/>
      <c r="E14" s="17"/>
      <c r="F14" s="18"/>
      <c r="G14" s="18"/>
      <c r="H14" s="18"/>
      <c r="I14" s="18"/>
      <c r="J14" s="18"/>
      <c r="K14" s="18"/>
      <c r="L14" s="18"/>
      <c r="M14" s="18"/>
      <c r="N14" s="17"/>
      <c r="O14" s="18"/>
      <c r="P14" s="18"/>
      <c r="Q14" s="18"/>
      <c r="R14" s="18"/>
      <c r="S14" s="18"/>
      <c r="T14" s="18"/>
      <c r="U14" s="18"/>
      <c r="V14" s="18"/>
      <c r="W14" s="19"/>
    </row>
    <row r="15" spans="2:32" ht="8.25" customHeight="1" x14ac:dyDescent="0.25"/>
    <row r="16" spans="2:32" x14ac:dyDescent="0.25">
      <c r="B16" s="38" t="s">
        <v>186</v>
      </c>
      <c r="D16" t="s">
        <v>195</v>
      </c>
      <c r="F16" s="42"/>
      <c r="G16" t="s">
        <v>187</v>
      </c>
      <c r="H16" s="43"/>
      <c r="I16" s="63"/>
      <c r="J16" s="63"/>
      <c r="K16" t="s">
        <v>191</v>
      </c>
      <c r="L16" t="s">
        <v>194</v>
      </c>
      <c r="M16" s="43"/>
      <c r="N16" t="s">
        <v>196</v>
      </c>
      <c r="O16" s="43"/>
      <c r="P16" s="43"/>
      <c r="Q16" s="43"/>
      <c r="U16" s="5"/>
      <c r="AB16" s="42"/>
      <c r="AC16" s="51"/>
      <c r="AD16" s="63"/>
      <c r="AE16" s="63"/>
      <c r="AF16" s="43"/>
    </row>
    <row r="17" spans="2:32" x14ac:dyDescent="0.25">
      <c r="B17" s="38" t="s">
        <v>190</v>
      </c>
      <c r="D17" t="s">
        <v>197</v>
      </c>
      <c r="F17" s="42"/>
      <c r="G17" s="43"/>
      <c r="H17" s="43"/>
      <c r="I17" s="63"/>
      <c r="J17" s="63"/>
      <c r="K17" s="63"/>
      <c r="L17" s="43"/>
      <c r="M17" s="43"/>
      <c r="N17" s="43"/>
      <c r="O17" s="43"/>
      <c r="P17" s="43"/>
      <c r="Q17" s="43"/>
      <c r="U17" s="5"/>
      <c r="AC17" s="51"/>
      <c r="AD17" s="63"/>
      <c r="AE17" s="63"/>
      <c r="AF17" s="43"/>
    </row>
    <row r="18" spans="2:32" ht="15.75" x14ac:dyDescent="0.25">
      <c r="B18" s="66" t="s">
        <v>243</v>
      </c>
      <c r="D18"/>
      <c r="E18"/>
      <c r="F18" s="42"/>
      <c r="G18" s="43"/>
      <c r="H18" s="43"/>
      <c r="I18" s="63"/>
      <c r="J18" s="63"/>
      <c r="K18" s="63"/>
      <c r="L18" s="43"/>
      <c r="M18" s="43"/>
      <c r="N18" s="43"/>
      <c r="O18" s="43"/>
      <c r="P18" s="43"/>
      <c r="Q18" s="43"/>
      <c r="U18" s="5"/>
      <c r="AC18" s="51"/>
      <c r="AD18" s="63"/>
      <c r="AE18" s="63"/>
      <c r="AF18" s="43"/>
    </row>
    <row r="19" spans="2:32" x14ac:dyDescent="0.25">
      <c r="B19" t="s">
        <v>218</v>
      </c>
      <c r="D19" t="s">
        <v>244</v>
      </c>
      <c r="E19"/>
      <c r="F19" s="42"/>
      <c r="G19" s="43"/>
      <c r="H19" s="43"/>
      <c r="I19" s="63"/>
      <c r="J19" s="63"/>
      <c r="K19" s="63"/>
      <c r="L19" s="43"/>
      <c r="M19" s="43"/>
      <c r="N19" s="43"/>
      <c r="O19" s="43"/>
      <c r="P19" s="43"/>
      <c r="Q19" s="43"/>
      <c r="U19" s="5"/>
      <c r="AC19" s="51"/>
      <c r="AD19" s="63"/>
      <c r="AE19" s="63"/>
      <c r="AF19" s="43"/>
    </row>
    <row r="20" spans="2:32" x14ac:dyDescent="0.25">
      <c r="B20" t="s">
        <v>1</v>
      </c>
      <c r="D20" t="s">
        <v>245</v>
      </c>
      <c r="E20"/>
      <c r="F20" s="42"/>
      <c r="G20" s="43"/>
      <c r="H20" s="43"/>
      <c r="I20" s="63"/>
      <c r="J20" s="63"/>
      <c r="K20" s="63"/>
      <c r="L20" s="43"/>
      <c r="M20" s="43"/>
      <c r="N20" s="43"/>
      <c r="O20" s="43"/>
      <c r="P20" s="43"/>
      <c r="Q20" s="43"/>
      <c r="U20" s="5"/>
      <c r="AC20" s="51"/>
      <c r="AD20" s="63"/>
      <c r="AE20" s="63"/>
      <c r="AF20" s="43"/>
    </row>
    <row r="21" spans="2:32" x14ac:dyDescent="0.25">
      <c r="B21" t="s">
        <v>18</v>
      </c>
      <c r="D21" t="s">
        <v>246</v>
      </c>
      <c r="E21"/>
      <c r="F21" s="42"/>
      <c r="G21" s="43"/>
      <c r="H21" s="43"/>
      <c r="I21" s="63"/>
      <c r="J21" s="63"/>
      <c r="K21" s="63"/>
      <c r="L21" s="43"/>
      <c r="M21" s="43"/>
      <c r="N21" s="43"/>
      <c r="O21" s="43"/>
      <c r="P21" s="43"/>
      <c r="Q21" s="43"/>
      <c r="U21" s="5"/>
      <c r="AC21" s="51"/>
      <c r="AD21" s="63"/>
      <c r="AE21" s="63"/>
      <c r="AF21" s="43"/>
    </row>
    <row r="22" spans="2:32" x14ac:dyDescent="0.25">
      <c r="B22" t="s">
        <v>13</v>
      </c>
      <c r="D22" t="s">
        <v>275</v>
      </c>
      <c r="E22"/>
      <c r="F22" s="42"/>
      <c r="G22" s="43"/>
      <c r="H22" s="43"/>
      <c r="I22" s="63"/>
      <c r="J22" s="63"/>
      <c r="K22" s="63"/>
      <c r="L22" s="43"/>
      <c r="M22" s="43"/>
      <c r="N22" s="43"/>
      <c r="O22" s="43"/>
      <c r="P22" s="43"/>
      <c r="Q22" s="43"/>
      <c r="U22" s="5"/>
      <c r="AC22" s="51"/>
      <c r="AD22" s="63"/>
      <c r="AE22" s="63"/>
      <c r="AF22" s="43"/>
    </row>
    <row r="23" spans="2:32" x14ac:dyDescent="0.25">
      <c r="B23" t="s">
        <v>112</v>
      </c>
      <c r="D23" t="s">
        <v>247</v>
      </c>
      <c r="E23"/>
      <c r="F23" s="42"/>
      <c r="G23" s="43"/>
      <c r="H23" s="43"/>
      <c r="I23" s="63"/>
      <c r="J23" s="63"/>
      <c r="K23" s="63"/>
      <c r="L23" s="43"/>
      <c r="M23" s="43"/>
      <c r="N23" s="43"/>
      <c r="O23" s="43"/>
      <c r="P23" s="43"/>
      <c r="Q23" s="43"/>
      <c r="U23" s="5"/>
      <c r="AC23" s="51"/>
      <c r="AD23" s="63"/>
      <c r="AE23" s="63"/>
      <c r="AF23" s="43"/>
    </row>
    <row r="24" spans="2:32" x14ac:dyDescent="0.25">
      <c r="B24" t="s">
        <v>34</v>
      </c>
      <c r="D24" t="s">
        <v>248</v>
      </c>
      <c r="E24"/>
      <c r="F24" s="42"/>
      <c r="G24" s="43"/>
      <c r="H24" s="43"/>
      <c r="I24" s="63"/>
      <c r="J24" s="63"/>
      <c r="K24" s="63"/>
      <c r="L24" s="43"/>
      <c r="M24" s="43"/>
      <c r="N24" s="43"/>
      <c r="O24" s="43"/>
      <c r="P24" s="43"/>
      <c r="Q24" s="43"/>
      <c r="U24" s="5"/>
      <c r="AC24" s="51"/>
      <c r="AD24" s="63"/>
      <c r="AE24" s="63"/>
      <c r="AF24" s="43"/>
    </row>
    <row r="25" spans="2:32" x14ac:dyDescent="0.25">
      <c r="B25" t="s">
        <v>219</v>
      </c>
      <c r="D25" t="s">
        <v>249</v>
      </c>
      <c r="E25"/>
      <c r="F25" s="42"/>
      <c r="G25" s="43"/>
      <c r="H25" s="43"/>
      <c r="I25" s="63"/>
      <c r="J25" s="63"/>
      <c r="K25" s="63"/>
      <c r="L25" s="43"/>
      <c r="M25" s="43"/>
      <c r="N25" s="43"/>
      <c r="O25" s="43"/>
      <c r="P25" s="43"/>
      <c r="Q25" s="43"/>
      <c r="U25" s="5"/>
      <c r="AC25" s="51"/>
      <c r="AD25" s="63"/>
      <c r="AE25" s="63"/>
      <c r="AF25" s="43"/>
    </row>
    <row r="26" spans="2:32" x14ac:dyDescent="0.25">
      <c r="B26" t="s">
        <v>220</v>
      </c>
      <c r="D26" t="s">
        <v>250</v>
      </c>
      <c r="E26"/>
      <c r="F26" s="42"/>
      <c r="G26" s="43"/>
      <c r="H26" s="43"/>
      <c r="I26" s="63"/>
      <c r="J26" s="63"/>
      <c r="K26" s="63"/>
      <c r="L26" s="43"/>
      <c r="M26" s="43"/>
      <c r="N26" s="43"/>
      <c r="O26" s="43"/>
      <c r="P26" s="43"/>
      <c r="Q26" s="43"/>
      <c r="U26" s="5"/>
      <c r="AC26" s="51"/>
      <c r="AD26" s="63"/>
      <c r="AE26" s="63"/>
      <c r="AF26" s="43"/>
    </row>
    <row r="27" spans="2:32" x14ac:dyDescent="0.25">
      <c r="B27" t="s">
        <v>5</v>
      </c>
      <c r="D27" t="s">
        <v>251</v>
      </c>
      <c r="E27"/>
      <c r="F27" s="42"/>
      <c r="G27" s="43"/>
      <c r="H27" s="43"/>
      <c r="I27" s="63"/>
      <c r="J27" s="63"/>
      <c r="K27" s="63"/>
      <c r="L27" s="43"/>
      <c r="M27" s="43"/>
      <c r="N27" s="43"/>
      <c r="O27" s="43"/>
      <c r="P27" s="43"/>
      <c r="Q27" s="43"/>
      <c r="U27" s="5"/>
      <c r="AC27" s="51"/>
      <c r="AD27" s="63"/>
      <c r="AE27" s="63"/>
      <c r="AF27" s="43"/>
    </row>
    <row r="28" spans="2:32" x14ac:dyDescent="0.25">
      <c r="B28" t="s">
        <v>6</v>
      </c>
      <c r="D28" t="s">
        <v>252</v>
      </c>
      <c r="E28"/>
      <c r="F28" s="42"/>
      <c r="G28" s="43"/>
      <c r="H28" s="43"/>
      <c r="I28" s="63"/>
      <c r="J28" s="63"/>
      <c r="K28" s="63"/>
      <c r="L28" s="43"/>
      <c r="M28" s="43"/>
      <c r="N28" s="43"/>
      <c r="O28" s="43"/>
      <c r="P28" s="43"/>
      <c r="Q28" s="43"/>
      <c r="U28" s="5"/>
      <c r="AC28" s="51"/>
      <c r="AD28" s="63"/>
      <c r="AE28" s="63"/>
      <c r="AF28" s="43"/>
    </row>
    <row r="29" spans="2:32" x14ac:dyDescent="0.25">
      <c r="B29" t="s">
        <v>180</v>
      </c>
      <c r="D29" t="s">
        <v>253</v>
      </c>
      <c r="E29"/>
      <c r="F29" s="42"/>
      <c r="G29" s="43"/>
      <c r="H29" s="43"/>
      <c r="I29" s="63"/>
      <c r="J29" s="63"/>
      <c r="K29" s="63"/>
      <c r="L29" s="43"/>
      <c r="M29" s="43"/>
      <c r="N29" s="43"/>
      <c r="O29" s="43"/>
      <c r="P29" s="43"/>
      <c r="Q29" s="43"/>
      <c r="U29" s="5"/>
      <c r="AC29" s="51"/>
      <c r="AD29" s="63"/>
      <c r="AE29" s="63"/>
      <c r="AF29" s="43"/>
    </row>
    <row r="30" spans="2:32" x14ac:dyDescent="0.25">
      <c r="B30" t="s">
        <v>181</v>
      </c>
      <c r="D30" t="s">
        <v>254</v>
      </c>
      <c r="E30"/>
      <c r="F30" s="42"/>
      <c r="G30" s="43"/>
      <c r="H30" s="43"/>
      <c r="I30" s="63"/>
      <c r="J30" s="63"/>
      <c r="K30" s="63"/>
      <c r="L30" s="43"/>
      <c r="M30" s="43"/>
      <c r="N30" s="43"/>
      <c r="O30" s="43"/>
      <c r="P30" s="43"/>
      <c r="Q30" s="43"/>
      <c r="U30" s="5"/>
      <c r="AC30" s="51"/>
      <c r="AD30" s="63"/>
      <c r="AE30" s="63"/>
      <c r="AF30" s="43"/>
    </row>
    <row r="31" spans="2:32" x14ac:dyDescent="0.25">
      <c r="B31" t="s">
        <v>188</v>
      </c>
      <c r="D31" t="s">
        <v>256</v>
      </c>
      <c r="E31"/>
      <c r="F31" s="42"/>
      <c r="G31" s="43"/>
      <c r="H31" s="43"/>
      <c r="I31" s="63"/>
      <c r="J31" s="63"/>
      <c r="K31" s="63"/>
      <c r="L31" s="43"/>
      <c r="M31" s="43"/>
      <c r="N31" s="43"/>
      <c r="O31" s="43"/>
      <c r="P31" s="43"/>
      <c r="Q31" s="43"/>
      <c r="U31" s="5"/>
      <c r="AC31" s="51"/>
      <c r="AD31" s="63"/>
      <c r="AE31" s="63"/>
      <c r="AF31" s="43"/>
    </row>
    <row r="32" spans="2:32" x14ac:dyDescent="0.25">
      <c r="B32" t="s">
        <v>189</v>
      </c>
      <c r="D32" t="s">
        <v>255</v>
      </c>
      <c r="E32"/>
      <c r="F32" s="42"/>
      <c r="G32" s="43"/>
      <c r="H32" s="43"/>
      <c r="I32" s="63"/>
      <c r="J32" s="63"/>
      <c r="K32" s="63"/>
      <c r="L32" s="43"/>
      <c r="M32" s="43"/>
      <c r="N32" s="43"/>
      <c r="O32" s="43"/>
      <c r="P32" s="43"/>
      <c r="Q32" s="43"/>
      <c r="U32" s="5"/>
      <c r="AC32" s="51"/>
      <c r="AD32" s="63"/>
      <c r="AE32" s="63"/>
      <c r="AF32" s="43"/>
    </row>
    <row r="33" spans="2:32" x14ac:dyDescent="0.25">
      <c r="B33" t="s">
        <v>182</v>
      </c>
      <c r="D33" t="s">
        <v>257</v>
      </c>
      <c r="E33"/>
      <c r="F33" s="42"/>
      <c r="G33" s="43"/>
      <c r="H33" s="43"/>
      <c r="I33" s="63"/>
      <c r="J33" s="63"/>
      <c r="K33" s="63"/>
      <c r="L33" s="43"/>
      <c r="M33" s="43"/>
      <c r="N33" s="43"/>
      <c r="O33" s="43"/>
      <c r="P33" s="43"/>
      <c r="Q33" s="43"/>
      <c r="U33" s="5"/>
      <c r="AC33" s="51"/>
      <c r="AD33" s="63"/>
      <c r="AE33" s="63"/>
      <c r="AF33" s="43"/>
    </row>
    <row r="34" spans="2:32" x14ac:dyDescent="0.25">
      <c r="B34" t="s">
        <v>194</v>
      </c>
      <c r="D34" t="s">
        <v>258</v>
      </c>
      <c r="E34"/>
      <c r="F34" s="42"/>
      <c r="G34" s="43"/>
      <c r="H34" s="43"/>
      <c r="I34" s="63"/>
      <c r="J34" s="63"/>
      <c r="K34" s="63"/>
      <c r="L34" s="43"/>
      <c r="M34" s="43"/>
      <c r="N34" s="43"/>
      <c r="O34" s="43"/>
      <c r="P34" s="43"/>
      <c r="Q34" s="43"/>
      <c r="U34" s="5"/>
      <c r="AC34" s="51"/>
      <c r="AD34" s="63"/>
      <c r="AE34" s="63"/>
      <c r="AF34" s="43"/>
    </row>
    <row r="35" spans="2:32" x14ac:dyDescent="0.25">
      <c r="B35" t="s">
        <v>15</v>
      </c>
      <c r="D35" t="s">
        <v>259</v>
      </c>
      <c r="E35"/>
      <c r="F35" s="42"/>
      <c r="G35" s="43"/>
      <c r="H35" s="43"/>
      <c r="I35" s="63"/>
      <c r="J35" s="63"/>
      <c r="K35" s="63"/>
      <c r="L35" s="43"/>
      <c r="M35" s="43"/>
      <c r="N35" s="43"/>
      <c r="O35" s="43"/>
      <c r="P35" s="43"/>
      <c r="Q35" s="43"/>
      <c r="U35" s="5"/>
      <c r="AC35" s="51"/>
      <c r="AD35" s="63"/>
      <c r="AE35" s="63"/>
      <c r="AF35" s="43"/>
    </row>
    <row r="36" spans="2:32" x14ac:dyDescent="0.25">
      <c r="B36" t="s">
        <v>14</v>
      </c>
      <c r="D36" t="s">
        <v>260</v>
      </c>
      <c r="E36"/>
      <c r="F36" s="42"/>
      <c r="G36" s="43"/>
      <c r="H36" s="43"/>
      <c r="I36" s="63"/>
      <c r="J36" s="63"/>
      <c r="K36" s="63"/>
      <c r="L36" s="43"/>
      <c r="M36" s="43"/>
      <c r="N36" s="43"/>
      <c r="O36" s="43"/>
      <c r="P36" s="43"/>
      <c r="Q36" s="43"/>
      <c r="U36" s="5"/>
      <c r="AC36" s="51"/>
      <c r="AD36" s="63"/>
      <c r="AE36" s="63"/>
      <c r="AF36" s="43"/>
    </row>
    <row r="37" spans="2:32" x14ac:dyDescent="0.25">
      <c r="B37" t="s">
        <v>19</v>
      </c>
      <c r="D37" t="s">
        <v>261</v>
      </c>
      <c r="E37"/>
      <c r="F37" s="42"/>
      <c r="G37" s="43"/>
      <c r="H37" s="43"/>
      <c r="I37" s="63"/>
      <c r="J37" s="63"/>
      <c r="K37" s="63"/>
      <c r="L37" s="43"/>
      <c r="M37" s="43"/>
      <c r="N37" s="43"/>
      <c r="O37" s="43"/>
      <c r="P37" s="43"/>
      <c r="Q37" s="43"/>
      <c r="U37" s="5"/>
      <c r="AC37" s="51"/>
      <c r="AD37" s="63"/>
      <c r="AE37" s="63"/>
      <c r="AF37" s="43"/>
    </row>
    <row r="38" spans="2:32" x14ac:dyDescent="0.25">
      <c r="B38" t="s">
        <v>17</v>
      </c>
      <c r="D38" t="s">
        <v>262</v>
      </c>
      <c r="E38"/>
      <c r="F38" s="42"/>
      <c r="G38" s="43"/>
      <c r="H38" s="43"/>
      <c r="I38" s="63"/>
      <c r="J38" s="63"/>
      <c r="K38" s="63"/>
      <c r="L38" s="43"/>
      <c r="M38" s="43"/>
      <c r="N38" s="43"/>
      <c r="O38" s="43"/>
      <c r="P38" s="43"/>
      <c r="Q38" s="43"/>
      <c r="U38" s="5"/>
      <c r="AC38" s="51"/>
      <c r="AD38" s="63"/>
      <c r="AE38" s="63"/>
      <c r="AF38" s="43"/>
    </row>
    <row r="39" spans="2:32" x14ac:dyDescent="0.25">
      <c r="B39" t="s">
        <v>7</v>
      </c>
      <c r="D39" t="s">
        <v>263</v>
      </c>
      <c r="E39"/>
      <c r="F39" s="42"/>
      <c r="G39" s="43"/>
      <c r="H39" s="43"/>
      <c r="I39" s="63"/>
      <c r="J39" s="63"/>
      <c r="K39" s="63"/>
      <c r="L39" s="43"/>
      <c r="M39" s="43"/>
      <c r="N39" s="43"/>
      <c r="O39" s="43"/>
      <c r="P39" s="43"/>
      <c r="Q39" s="43"/>
      <c r="U39" s="5"/>
      <c r="AC39" s="51"/>
      <c r="AD39" s="63"/>
      <c r="AE39" s="63"/>
      <c r="AF39" s="43"/>
    </row>
    <row r="40" spans="2:32" x14ac:dyDescent="0.25">
      <c r="B40" t="s">
        <v>8</v>
      </c>
      <c r="D40" t="s">
        <v>264</v>
      </c>
      <c r="E40"/>
      <c r="F40" s="42"/>
      <c r="G40" s="43"/>
      <c r="H40" s="43"/>
      <c r="I40" s="63"/>
      <c r="J40" s="63"/>
      <c r="K40" s="63"/>
      <c r="L40" s="43"/>
      <c r="M40" s="43"/>
      <c r="N40" s="43"/>
      <c r="O40" s="43"/>
      <c r="P40" s="43"/>
      <c r="Q40" s="43"/>
      <c r="U40" s="5"/>
      <c r="AC40" s="51"/>
      <c r="AD40" s="63"/>
      <c r="AE40" s="63"/>
      <c r="AF40" s="43"/>
    </row>
    <row r="41" spans="2:32" x14ac:dyDescent="0.25">
      <c r="B41" t="s">
        <v>166</v>
      </c>
      <c r="D41" t="s">
        <v>265</v>
      </c>
      <c r="E41"/>
      <c r="F41" s="42"/>
      <c r="G41" s="43"/>
      <c r="H41" s="43"/>
      <c r="I41" s="63"/>
      <c r="J41" s="63"/>
      <c r="K41" s="63"/>
      <c r="L41" s="43"/>
      <c r="M41" s="43"/>
      <c r="N41" s="43"/>
      <c r="O41" s="43"/>
      <c r="P41" s="43"/>
      <c r="Q41" s="43"/>
      <c r="U41" s="5"/>
      <c r="AC41" s="51"/>
      <c r="AD41" s="63"/>
      <c r="AE41" s="63"/>
      <c r="AF41" s="43"/>
    </row>
    <row r="42" spans="2:32" x14ac:dyDescent="0.25">
      <c r="B42" t="s">
        <v>10</v>
      </c>
      <c r="D42" t="s">
        <v>266</v>
      </c>
      <c r="E42"/>
      <c r="F42" s="42"/>
      <c r="G42" s="43"/>
      <c r="H42" s="43"/>
      <c r="I42" s="63"/>
      <c r="J42" s="63"/>
      <c r="K42" s="63"/>
      <c r="L42" s="43"/>
      <c r="M42" s="43"/>
      <c r="N42" s="43"/>
      <c r="O42" s="43"/>
      <c r="P42" s="43"/>
      <c r="Q42" s="43"/>
      <c r="U42" s="5"/>
      <c r="AC42" s="51"/>
      <c r="AD42" s="63"/>
      <c r="AE42" s="63"/>
      <c r="AF42" s="43"/>
    </row>
    <row r="43" spans="2:32" x14ac:dyDescent="0.25">
      <c r="B43" t="s">
        <v>169</v>
      </c>
      <c r="D43" t="s">
        <v>267</v>
      </c>
      <c r="E43"/>
      <c r="F43" s="42"/>
      <c r="G43" s="43"/>
      <c r="H43" s="43"/>
      <c r="I43" s="63"/>
      <c r="J43" s="63"/>
      <c r="K43" s="63"/>
      <c r="L43" s="43"/>
      <c r="M43" s="43"/>
      <c r="N43" s="43"/>
      <c r="O43" s="43"/>
      <c r="P43" s="43"/>
      <c r="Q43" s="43"/>
      <c r="U43" s="5"/>
      <c r="AC43" s="51"/>
      <c r="AD43" s="63"/>
      <c r="AE43" s="63"/>
      <c r="AF43" s="43"/>
    </row>
    <row r="44" spans="2:32" x14ac:dyDescent="0.25">
      <c r="B44" t="s">
        <v>161</v>
      </c>
      <c r="D44" t="s">
        <v>268</v>
      </c>
      <c r="E44"/>
      <c r="F44" s="42"/>
      <c r="G44" s="43"/>
      <c r="H44" s="43"/>
      <c r="I44" s="63"/>
      <c r="J44" s="63"/>
      <c r="K44" s="63"/>
      <c r="L44" s="43"/>
      <c r="M44" s="43"/>
      <c r="N44" s="43"/>
      <c r="O44" s="43"/>
      <c r="P44" s="43"/>
      <c r="Q44" s="43"/>
      <c r="U44" s="5"/>
      <c r="AC44" s="51"/>
      <c r="AD44" s="63"/>
      <c r="AE44" s="63"/>
      <c r="AF44" s="43"/>
    </row>
    <row r="45" spans="2:32" x14ac:dyDescent="0.25">
      <c r="B45" t="s">
        <v>168</v>
      </c>
      <c r="D45" t="s">
        <v>269</v>
      </c>
      <c r="E45"/>
      <c r="F45" s="42"/>
      <c r="G45" s="43"/>
      <c r="H45" s="43"/>
      <c r="I45" s="63"/>
      <c r="J45" s="63"/>
      <c r="K45" s="63"/>
      <c r="L45" s="43"/>
      <c r="M45" s="43"/>
      <c r="N45" s="43"/>
      <c r="O45" s="43"/>
      <c r="P45" s="43"/>
      <c r="Q45" s="43"/>
      <c r="U45" s="5"/>
      <c r="AC45" s="51"/>
      <c r="AD45" s="63"/>
      <c r="AE45" s="63"/>
      <c r="AF45" s="43"/>
    </row>
    <row r="46" spans="2:32" x14ac:dyDescent="0.25">
      <c r="B46" t="s">
        <v>165</v>
      </c>
      <c r="D46" t="s">
        <v>270</v>
      </c>
      <c r="E46"/>
      <c r="F46" s="42"/>
      <c r="G46" s="43"/>
      <c r="H46" s="43"/>
      <c r="I46" s="63"/>
      <c r="J46" s="63"/>
      <c r="K46" s="63"/>
      <c r="L46" s="43"/>
      <c r="M46" s="43"/>
      <c r="N46" s="43"/>
      <c r="O46" s="43"/>
      <c r="P46" s="43"/>
      <c r="Q46" s="43"/>
      <c r="U46" s="5"/>
      <c r="AC46" s="51"/>
      <c r="AD46" s="63"/>
      <c r="AE46" s="63"/>
      <c r="AF46" s="43"/>
    </row>
    <row r="47" spans="2:32" x14ac:dyDescent="0.25">
      <c r="B47" t="s">
        <v>143</v>
      </c>
      <c r="D47" t="s">
        <v>271</v>
      </c>
      <c r="E47"/>
      <c r="F47" s="42"/>
      <c r="G47" s="43"/>
      <c r="H47" s="43"/>
      <c r="I47" s="63"/>
      <c r="J47" s="63"/>
      <c r="K47" s="63"/>
      <c r="L47" s="43"/>
      <c r="M47" s="43"/>
      <c r="N47" s="43"/>
      <c r="O47" s="43"/>
      <c r="P47" s="43"/>
      <c r="Q47" s="43"/>
      <c r="U47" s="5"/>
      <c r="AC47" s="51"/>
      <c r="AD47" s="63"/>
      <c r="AE47" s="63"/>
      <c r="AF47" s="43"/>
    </row>
    <row r="48" spans="2:32" x14ac:dyDescent="0.25">
      <c r="B48" t="s">
        <v>167</v>
      </c>
      <c r="D48" t="s">
        <v>272</v>
      </c>
      <c r="E48"/>
      <c r="F48" s="42"/>
      <c r="G48" s="43"/>
      <c r="H48" s="43"/>
      <c r="I48" s="63"/>
      <c r="J48" s="63"/>
      <c r="K48" s="63"/>
      <c r="L48" s="43"/>
      <c r="M48" s="43"/>
      <c r="N48" s="43"/>
      <c r="O48" s="43"/>
      <c r="P48" s="43"/>
      <c r="Q48" s="43"/>
      <c r="U48" s="5"/>
      <c r="AC48" s="51"/>
      <c r="AD48" s="63"/>
      <c r="AE48" s="63"/>
      <c r="AF48" s="43"/>
    </row>
    <row r="49" spans="2:32" x14ac:dyDescent="0.25">
      <c r="B49" t="s">
        <v>201</v>
      </c>
      <c r="D49" t="s">
        <v>273</v>
      </c>
      <c r="E49"/>
      <c r="F49" s="42"/>
      <c r="G49" s="43"/>
      <c r="H49" s="43"/>
      <c r="I49" s="63"/>
      <c r="J49" s="63"/>
      <c r="K49" s="63"/>
      <c r="L49" s="43"/>
      <c r="M49" s="43"/>
      <c r="N49" s="43"/>
      <c r="O49" s="43"/>
      <c r="P49" s="43"/>
      <c r="Q49" s="43"/>
      <c r="U49" s="5"/>
      <c r="AC49" s="51"/>
      <c r="AD49" s="63"/>
      <c r="AE49" s="63"/>
      <c r="AF49" s="43"/>
    </row>
    <row r="50" spans="2:32" x14ac:dyDescent="0.25">
      <c r="B50" t="s">
        <v>142</v>
      </c>
      <c r="D50" t="s">
        <v>274</v>
      </c>
      <c r="E50"/>
      <c r="F50" s="42"/>
      <c r="G50" s="43"/>
      <c r="H50" s="43"/>
      <c r="I50" s="63"/>
      <c r="J50" s="63"/>
      <c r="K50" s="63"/>
      <c r="L50" s="43"/>
      <c r="M50" s="43"/>
      <c r="N50" s="43"/>
      <c r="O50" s="43"/>
      <c r="P50" s="43"/>
      <c r="Q50" s="43"/>
      <c r="U50" s="5"/>
      <c r="AC50" s="51"/>
      <c r="AD50" s="63"/>
      <c r="AE50" s="63"/>
      <c r="AF50" s="43"/>
    </row>
    <row r="51" spans="2:32" x14ac:dyDescent="0.25">
      <c r="B51" t="s">
        <v>12</v>
      </c>
      <c r="D51"/>
      <c r="E51"/>
      <c r="F51" s="42"/>
      <c r="G51" s="43"/>
      <c r="H51" s="43"/>
      <c r="I51" s="63"/>
      <c r="J51" s="63"/>
      <c r="K51" s="63"/>
      <c r="L51" s="43"/>
      <c r="M51" s="43"/>
      <c r="N51" s="43"/>
      <c r="O51" s="43"/>
      <c r="P51" s="43"/>
      <c r="Q51" s="43"/>
      <c r="U51" s="5"/>
      <c r="AC51" s="51"/>
      <c r="AD51" s="63"/>
      <c r="AE51" s="63"/>
      <c r="AF51" s="4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7"/>
  <sheetViews>
    <sheetView topLeftCell="A28" workbookViewId="0">
      <selection activeCell="D46" sqref="D46"/>
    </sheetView>
  </sheetViews>
  <sheetFormatPr defaultRowHeight="15" x14ac:dyDescent="0.25"/>
  <cols>
    <col min="1" max="1" width="3.42578125" customWidth="1"/>
    <col min="2" max="2" width="12.140625" style="30" customWidth="1"/>
    <col min="3" max="3" width="18.42578125" customWidth="1"/>
    <col min="4" max="4" width="22.140625" customWidth="1"/>
    <col min="5" max="5" width="35.7109375" customWidth="1"/>
    <col min="6" max="6" width="49" customWidth="1"/>
    <col min="7" max="7" width="100.140625" customWidth="1"/>
  </cols>
  <sheetData>
    <row r="1" spans="2:7" s="2" customFormat="1" ht="21" x14ac:dyDescent="0.35">
      <c r="B1" s="29"/>
      <c r="C1" s="2" t="s">
        <v>60</v>
      </c>
      <c r="F1" s="2" t="s">
        <v>0</v>
      </c>
      <c r="G1" s="3"/>
    </row>
    <row r="2" spans="2:7" ht="10.5" customHeight="1" thickBot="1" x14ac:dyDescent="0.3"/>
    <row r="3" spans="2:7" s="25" customFormat="1" ht="15.75" thickBot="1" x14ac:dyDescent="0.3">
      <c r="B3" s="28" t="s">
        <v>61</v>
      </c>
      <c r="C3" s="23" t="s">
        <v>62</v>
      </c>
      <c r="D3" s="23" t="s">
        <v>63</v>
      </c>
      <c r="E3" s="23" t="s">
        <v>277</v>
      </c>
      <c r="F3" s="23" t="s">
        <v>65</v>
      </c>
      <c r="G3" s="24" t="s">
        <v>64</v>
      </c>
    </row>
    <row r="4" spans="2:7" ht="8.25" customHeight="1" thickBot="1" x14ac:dyDescent="0.3"/>
    <row r="5" spans="2:7" x14ac:dyDescent="0.25">
      <c r="B5" s="129">
        <v>27607</v>
      </c>
      <c r="C5" s="11" t="s">
        <v>126</v>
      </c>
      <c r="D5" s="11" t="s">
        <v>124</v>
      </c>
      <c r="E5" s="11" t="s">
        <v>278</v>
      </c>
      <c r="F5" s="11" t="s">
        <v>125</v>
      </c>
      <c r="G5" s="12" t="s">
        <v>123</v>
      </c>
    </row>
    <row r="6" spans="2:7" x14ac:dyDescent="0.25">
      <c r="B6" s="130">
        <v>33756</v>
      </c>
      <c r="C6" s="26" t="s">
        <v>68</v>
      </c>
      <c r="D6" s="26" t="s">
        <v>69</v>
      </c>
      <c r="E6" s="26" t="s">
        <v>279</v>
      </c>
      <c r="F6" s="26" t="s">
        <v>70</v>
      </c>
      <c r="G6" s="27" t="s">
        <v>298</v>
      </c>
    </row>
    <row r="7" spans="2:7" x14ac:dyDescent="0.25">
      <c r="B7" s="130">
        <v>35052</v>
      </c>
      <c r="C7" s="26" t="s">
        <v>127</v>
      </c>
      <c r="D7" s="26" t="s">
        <v>128</v>
      </c>
      <c r="E7" s="26" t="s">
        <v>280</v>
      </c>
      <c r="F7" s="26" t="s">
        <v>129</v>
      </c>
      <c r="G7" s="32" t="s">
        <v>130</v>
      </c>
    </row>
    <row r="8" spans="2:7" x14ac:dyDescent="0.25">
      <c r="B8" s="130">
        <v>35656</v>
      </c>
      <c r="C8" s="26"/>
      <c r="D8" s="14" t="s">
        <v>74</v>
      </c>
      <c r="E8" s="26" t="s">
        <v>281</v>
      </c>
      <c r="F8" s="26" t="s">
        <v>73</v>
      </c>
      <c r="G8" s="27"/>
    </row>
    <row r="9" spans="2:7" x14ac:dyDescent="0.25">
      <c r="B9" s="131">
        <v>36157</v>
      </c>
      <c r="C9" s="14"/>
      <c r="D9" s="14" t="s">
        <v>71</v>
      </c>
      <c r="E9" s="14" t="s">
        <v>282</v>
      </c>
      <c r="F9" s="14" t="s">
        <v>72</v>
      </c>
      <c r="G9" s="15"/>
    </row>
    <row r="10" spans="2:7" x14ac:dyDescent="0.25">
      <c r="B10" s="131">
        <v>36157</v>
      </c>
      <c r="C10" s="14" t="s">
        <v>68</v>
      </c>
      <c r="D10" s="14" t="s">
        <v>76</v>
      </c>
      <c r="E10" s="14" t="s">
        <v>279</v>
      </c>
      <c r="F10" s="14" t="s">
        <v>75</v>
      </c>
      <c r="G10" s="15"/>
    </row>
    <row r="11" spans="2:7" x14ac:dyDescent="0.25">
      <c r="B11" s="131">
        <v>36421</v>
      </c>
      <c r="C11" s="14" t="s">
        <v>77</v>
      </c>
      <c r="D11" s="14" t="s">
        <v>78</v>
      </c>
      <c r="E11" s="26" t="s">
        <v>279</v>
      </c>
      <c r="F11" s="14" t="s">
        <v>79</v>
      </c>
      <c r="G11" s="15"/>
    </row>
    <row r="12" spans="2:7" x14ac:dyDescent="0.25">
      <c r="B12" s="131">
        <v>37250</v>
      </c>
      <c r="C12" s="14" t="s">
        <v>82</v>
      </c>
      <c r="D12" s="14" t="s">
        <v>83</v>
      </c>
      <c r="E12" s="26" t="s">
        <v>283</v>
      </c>
      <c r="F12" s="14" t="s">
        <v>84</v>
      </c>
      <c r="G12" s="15"/>
    </row>
    <row r="13" spans="2:7" x14ac:dyDescent="0.25">
      <c r="B13" s="131">
        <v>37296</v>
      </c>
      <c r="C13" s="14" t="s">
        <v>88</v>
      </c>
      <c r="D13" s="14" t="s">
        <v>115</v>
      </c>
      <c r="E13" s="14" t="s">
        <v>284</v>
      </c>
      <c r="F13" s="14" t="s">
        <v>89</v>
      </c>
      <c r="G13" s="15"/>
    </row>
    <row r="14" spans="2:7" x14ac:dyDescent="0.25">
      <c r="B14" s="131">
        <v>37345</v>
      </c>
      <c r="C14" s="14" t="s">
        <v>77</v>
      </c>
      <c r="D14" s="14" t="s">
        <v>80</v>
      </c>
      <c r="E14" s="26" t="s">
        <v>279</v>
      </c>
      <c r="F14" s="14" t="s">
        <v>81</v>
      </c>
      <c r="G14" s="15"/>
    </row>
    <row r="15" spans="2:7" x14ac:dyDescent="0.25">
      <c r="B15" s="131">
        <v>37345</v>
      </c>
      <c r="C15" s="14" t="s">
        <v>85</v>
      </c>
      <c r="D15" s="14" t="s">
        <v>86</v>
      </c>
      <c r="E15" s="14"/>
      <c r="F15" s="14" t="s">
        <v>87</v>
      </c>
      <c r="G15" s="15"/>
    </row>
    <row r="16" spans="2:7" x14ac:dyDescent="0.25">
      <c r="B16" s="131">
        <v>37992</v>
      </c>
      <c r="C16" s="14" t="s">
        <v>90</v>
      </c>
      <c r="D16" s="14" t="s">
        <v>91</v>
      </c>
      <c r="E16" s="26" t="s">
        <v>285</v>
      </c>
      <c r="F16" s="14"/>
      <c r="G16" s="15"/>
    </row>
    <row r="17" spans="2:7" x14ac:dyDescent="0.25">
      <c r="B17" s="131">
        <v>39734</v>
      </c>
      <c r="C17" s="14" t="s">
        <v>92</v>
      </c>
      <c r="D17" s="14" t="s">
        <v>94</v>
      </c>
      <c r="E17" s="14" t="s">
        <v>286</v>
      </c>
      <c r="F17" s="14" t="s">
        <v>93</v>
      </c>
      <c r="G17" s="15"/>
    </row>
    <row r="18" spans="2:7" x14ac:dyDescent="0.25">
      <c r="B18" s="131">
        <v>41154</v>
      </c>
      <c r="C18" s="14" t="s">
        <v>95</v>
      </c>
      <c r="D18" s="14" t="s">
        <v>96</v>
      </c>
      <c r="E18" s="14" t="s">
        <v>287</v>
      </c>
      <c r="F18" s="14" t="s">
        <v>97</v>
      </c>
      <c r="G18" s="15"/>
    </row>
    <row r="19" spans="2:7" x14ac:dyDescent="0.25">
      <c r="B19" s="131">
        <v>41154</v>
      </c>
      <c r="C19" s="14" t="s">
        <v>99</v>
      </c>
      <c r="D19" s="14" t="s">
        <v>96</v>
      </c>
      <c r="E19" s="14"/>
      <c r="F19" s="14" t="s">
        <v>98</v>
      </c>
      <c r="G19" s="15"/>
    </row>
    <row r="20" spans="2:7" x14ac:dyDescent="0.25">
      <c r="B20" s="131">
        <v>41217</v>
      </c>
      <c r="C20" s="14" t="s">
        <v>100</v>
      </c>
      <c r="D20" s="14" t="s">
        <v>101</v>
      </c>
      <c r="E20" s="14" t="s">
        <v>288</v>
      </c>
      <c r="F20" s="14" t="s">
        <v>102</v>
      </c>
      <c r="G20" s="15"/>
    </row>
    <row r="21" spans="2:7" x14ac:dyDescent="0.25">
      <c r="B21" s="131">
        <v>41250</v>
      </c>
      <c r="C21" s="14" t="s">
        <v>103</v>
      </c>
      <c r="D21" s="14" t="s">
        <v>104</v>
      </c>
      <c r="E21" s="14" t="s">
        <v>289</v>
      </c>
      <c r="F21" s="14" t="s">
        <v>105</v>
      </c>
      <c r="G21" s="15" t="s">
        <v>276</v>
      </c>
    </row>
    <row r="22" spans="2:7" x14ac:dyDescent="0.25">
      <c r="B22" s="131">
        <v>41384</v>
      </c>
      <c r="C22" s="14" t="s">
        <v>106</v>
      </c>
      <c r="D22" s="14" t="s">
        <v>107</v>
      </c>
      <c r="E22" s="14"/>
      <c r="F22" s="14" t="s">
        <v>102</v>
      </c>
      <c r="G22" s="15"/>
    </row>
    <row r="23" spans="2:7" x14ac:dyDescent="0.25">
      <c r="B23" s="131">
        <v>41478</v>
      </c>
      <c r="C23" s="14" t="s">
        <v>108</v>
      </c>
      <c r="D23" s="14" t="s">
        <v>109</v>
      </c>
      <c r="E23" s="14"/>
      <c r="F23" s="14"/>
      <c r="G23" s="15"/>
    </row>
    <row r="24" spans="2:7" x14ac:dyDescent="0.25">
      <c r="B24" s="131">
        <v>42258</v>
      </c>
      <c r="C24" s="14" t="s">
        <v>110</v>
      </c>
      <c r="D24" s="14" t="s">
        <v>111</v>
      </c>
      <c r="E24" s="14"/>
      <c r="F24" s="14"/>
      <c r="G24" s="15"/>
    </row>
    <row r="25" spans="2:7" x14ac:dyDescent="0.25">
      <c r="B25" s="131">
        <v>44385</v>
      </c>
      <c r="C25" s="14" t="s">
        <v>118</v>
      </c>
      <c r="D25" s="14" t="s">
        <v>115</v>
      </c>
      <c r="E25" s="14" t="s">
        <v>290</v>
      </c>
      <c r="F25" s="14" t="s">
        <v>119</v>
      </c>
      <c r="G25" s="15"/>
    </row>
    <row r="26" spans="2:7" x14ac:dyDescent="0.25">
      <c r="B26" s="131">
        <v>44460</v>
      </c>
      <c r="C26" s="14" t="s">
        <v>120</v>
      </c>
      <c r="D26" s="14" t="s">
        <v>115</v>
      </c>
      <c r="E26" s="14" t="s">
        <v>291</v>
      </c>
      <c r="F26" s="14" t="s">
        <v>121</v>
      </c>
      <c r="G26" s="15" t="s">
        <v>228</v>
      </c>
    </row>
    <row r="27" spans="2:7" x14ac:dyDescent="0.25">
      <c r="B27" s="131">
        <v>45419</v>
      </c>
      <c r="C27" s="14" t="s">
        <v>229</v>
      </c>
      <c r="D27" s="14" t="s">
        <v>230</v>
      </c>
      <c r="E27" s="14" t="s">
        <v>292</v>
      </c>
      <c r="F27" s="14" t="s">
        <v>231</v>
      </c>
      <c r="G27" s="15" t="s">
        <v>232</v>
      </c>
    </row>
    <row r="28" spans="2:7" x14ac:dyDescent="0.25">
      <c r="B28" s="131">
        <v>45712</v>
      </c>
      <c r="C28" s="14" t="s">
        <v>237</v>
      </c>
      <c r="D28" s="14" t="s">
        <v>225</v>
      </c>
      <c r="E28" s="14" t="s">
        <v>293</v>
      </c>
      <c r="F28" s="14" t="s">
        <v>238</v>
      </c>
      <c r="G28" s="15" t="s">
        <v>239</v>
      </c>
    </row>
    <row r="29" spans="2:7" x14ac:dyDescent="0.25">
      <c r="B29" s="131">
        <v>45890</v>
      </c>
      <c r="C29" s="14" t="s">
        <v>224</v>
      </c>
      <c r="D29" s="14" t="s">
        <v>225</v>
      </c>
      <c r="E29" s="14" t="s">
        <v>291</v>
      </c>
      <c r="F29" s="14" t="s">
        <v>226</v>
      </c>
      <c r="G29" s="15" t="s">
        <v>227</v>
      </c>
    </row>
    <row r="30" spans="2:7" x14ac:dyDescent="0.25">
      <c r="B30" s="131">
        <v>45903</v>
      </c>
      <c r="C30" s="14" t="s">
        <v>114</v>
      </c>
      <c r="D30" s="14" t="s">
        <v>115</v>
      </c>
      <c r="E30" s="14" t="s">
        <v>294</v>
      </c>
      <c r="F30" s="14" t="s">
        <v>116</v>
      </c>
      <c r="G30" s="15" t="s">
        <v>117</v>
      </c>
    </row>
    <row r="31" spans="2:7" x14ac:dyDescent="0.25">
      <c r="B31" s="131">
        <v>45912</v>
      </c>
      <c r="C31" s="14" t="s">
        <v>233</v>
      </c>
      <c r="D31" s="14" t="s">
        <v>234</v>
      </c>
      <c r="E31" s="14" t="s">
        <v>295</v>
      </c>
      <c r="F31" s="14" t="s">
        <v>236</v>
      </c>
      <c r="G31" s="15" t="s">
        <v>235</v>
      </c>
    </row>
    <row r="32" spans="2:7" x14ac:dyDescent="0.25">
      <c r="B32" s="132">
        <v>45920</v>
      </c>
      <c r="C32" s="133" t="s">
        <v>240</v>
      </c>
      <c r="D32" s="14" t="s">
        <v>225</v>
      </c>
      <c r="E32" s="14" t="s">
        <v>291</v>
      </c>
      <c r="F32" s="133" t="s">
        <v>241</v>
      </c>
      <c r="G32" s="134" t="s">
        <v>242</v>
      </c>
    </row>
    <row r="33" spans="2:7" ht="15.75" thickBot="1" x14ac:dyDescent="0.3">
      <c r="B33" s="31"/>
      <c r="C33" s="18"/>
      <c r="D33" s="18"/>
      <c r="E33" s="18"/>
      <c r="F33" s="18"/>
      <c r="G33" s="19"/>
    </row>
    <row r="35" spans="2:7" x14ac:dyDescent="0.25">
      <c r="B35" s="135" t="s">
        <v>299</v>
      </c>
    </row>
    <row r="36" spans="2:7" x14ac:dyDescent="0.25">
      <c r="B36" s="136" t="s">
        <v>297</v>
      </c>
    </row>
    <row r="37" spans="2:7" x14ac:dyDescent="0.25">
      <c r="B37" s="135" t="s">
        <v>296</v>
      </c>
    </row>
  </sheetData>
  <sortState ref="B5:F31">
    <sortCondition ref="B5:B3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71"/>
  <sheetViews>
    <sheetView zoomScaleNormal="100" workbookViewId="0">
      <pane ySplit="3" topLeftCell="A4" activePane="bottomLeft" state="frozenSplit"/>
      <selection pane="bottomLeft" activeCell="U64" sqref="U64"/>
    </sheetView>
  </sheetViews>
  <sheetFormatPr defaultRowHeight="15" x14ac:dyDescent="0.25"/>
  <cols>
    <col min="1" max="1" width="2.7109375" customWidth="1"/>
    <col min="2" max="2" width="5.42578125" customWidth="1"/>
    <col min="3" max="3" width="12.28515625" customWidth="1"/>
    <col min="4" max="4" width="17.7109375" customWidth="1"/>
    <col min="5" max="5" width="8.140625" customWidth="1"/>
    <col min="6" max="6" width="9.42578125" style="42" customWidth="1"/>
    <col min="7" max="8" width="2.85546875" style="43" customWidth="1"/>
    <col min="9" max="11" width="2.85546875" style="63" customWidth="1"/>
    <col min="12" max="15" width="3.42578125" style="43" customWidth="1"/>
    <col min="16" max="16" width="2.85546875" style="43" customWidth="1"/>
    <col min="17" max="17" width="5" style="43" customWidth="1"/>
    <col min="18" max="18" width="13.140625" customWidth="1"/>
    <col min="19" max="19" width="4.140625" customWidth="1"/>
    <col min="20" max="20" width="5.5703125" customWidth="1"/>
    <col min="21" max="21" width="9" style="5" customWidth="1"/>
    <col min="22" max="22" width="5.28515625" customWidth="1"/>
    <col min="23" max="23" width="5.140625" customWidth="1"/>
    <col min="24" max="24" width="2.85546875" customWidth="1"/>
    <col min="25" max="25" width="4.42578125" customWidth="1"/>
    <col min="26" max="26" width="3.140625" customWidth="1"/>
    <col min="27" max="27" width="4.85546875" customWidth="1"/>
    <col min="28" max="28" width="5.85546875" customWidth="1"/>
    <col min="29" max="29" width="5.7109375" style="51" customWidth="1"/>
    <col min="30" max="31" width="2.85546875" style="63" customWidth="1"/>
    <col min="32" max="32" width="2.85546875" style="43" customWidth="1"/>
    <col min="33" max="33" width="33.7109375" customWidth="1"/>
    <col min="34" max="34" width="53.140625" customWidth="1"/>
  </cols>
  <sheetData>
    <row r="1" spans="2:34" s="2" customFormat="1" ht="21.75" thickBot="1" x14ac:dyDescent="0.4">
      <c r="D1" s="4" t="s">
        <v>153</v>
      </c>
      <c r="F1" s="39"/>
      <c r="G1" s="40"/>
      <c r="H1" s="48" t="s">
        <v>0</v>
      </c>
      <c r="I1" s="41"/>
      <c r="J1" s="41"/>
      <c r="K1" s="41"/>
      <c r="L1" s="41"/>
      <c r="M1" s="41"/>
      <c r="N1" s="41"/>
      <c r="O1" s="41"/>
      <c r="P1" s="41"/>
      <c r="Q1" s="41"/>
      <c r="U1" s="4"/>
      <c r="AC1" s="50"/>
      <c r="AD1" s="41"/>
      <c r="AE1" s="41"/>
      <c r="AF1" s="41"/>
    </row>
    <row r="2" spans="2:34" ht="9" hidden="1" customHeight="1" thickBot="1" x14ac:dyDescent="0.3"/>
    <row r="3" spans="2:34" s="25" customFormat="1" ht="58.5" customHeight="1" thickBot="1" x14ac:dyDescent="0.3">
      <c r="B3" s="67" t="s">
        <v>218</v>
      </c>
      <c r="C3" s="23" t="s">
        <v>1</v>
      </c>
      <c r="D3" s="23" t="s">
        <v>18</v>
      </c>
      <c r="E3" s="23" t="s">
        <v>13</v>
      </c>
      <c r="F3" s="57" t="s">
        <v>112</v>
      </c>
      <c r="G3" s="54" t="s">
        <v>34</v>
      </c>
      <c r="H3" s="54" t="s">
        <v>219</v>
      </c>
      <c r="I3" s="54" t="s">
        <v>220</v>
      </c>
      <c r="J3" s="54" t="s">
        <v>5</v>
      </c>
      <c r="K3" s="54" t="s">
        <v>6</v>
      </c>
      <c r="L3" s="54" t="s">
        <v>180</v>
      </c>
      <c r="M3" s="54" t="s">
        <v>181</v>
      </c>
      <c r="N3" s="54" t="s">
        <v>188</v>
      </c>
      <c r="O3" s="54" t="s">
        <v>189</v>
      </c>
      <c r="P3" s="54" t="s">
        <v>182</v>
      </c>
      <c r="Q3" s="54" t="s">
        <v>194</v>
      </c>
      <c r="R3" s="23" t="s">
        <v>15</v>
      </c>
      <c r="S3" s="54" t="s">
        <v>14</v>
      </c>
      <c r="T3" s="54" t="s">
        <v>19</v>
      </c>
      <c r="U3" s="56" t="s">
        <v>17</v>
      </c>
      <c r="V3" s="54" t="s">
        <v>7</v>
      </c>
      <c r="W3" s="54" t="s">
        <v>8</v>
      </c>
      <c r="X3" s="54" t="s">
        <v>166</v>
      </c>
      <c r="Y3" s="54" t="s">
        <v>10</v>
      </c>
      <c r="Z3" s="54" t="s">
        <v>169</v>
      </c>
      <c r="AA3" s="54" t="s">
        <v>161</v>
      </c>
      <c r="AB3" s="54" t="s">
        <v>168</v>
      </c>
      <c r="AC3" s="55" t="s">
        <v>165</v>
      </c>
      <c r="AD3" s="54" t="s">
        <v>143</v>
      </c>
      <c r="AE3" s="54" t="s">
        <v>167</v>
      </c>
      <c r="AF3" s="58" t="s">
        <v>201</v>
      </c>
      <c r="AG3" s="53" t="s">
        <v>142</v>
      </c>
      <c r="AH3" s="24" t="s">
        <v>12</v>
      </c>
    </row>
    <row r="4" spans="2:34" ht="9" customHeight="1" thickBot="1" x14ac:dyDescent="0.3"/>
    <row r="5" spans="2:34" ht="15.75" x14ac:dyDescent="0.25">
      <c r="B5" s="72">
        <v>1999</v>
      </c>
      <c r="C5" s="75" t="s">
        <v>210</v>
      </c>
      <c r="D5" s="68" t="s">
        <v>213</v>
      </c>
      <c r="E5" s="68" t="s">
        <v>22</v>
      </c>
      <c r="F5" s="119">
        <v>33756</v>
      </c>
      <c r="G5" s="123"/>
      <c r="H5" s="44"/>
      <c r="I5" s="85" t="s">
        <v>154</v>
      </c>
      <c r="J5" s="85"/>
      <c r="K5" s="86"/>
      <c r="L5" s="80" t="s">
        <v>184</v>
      </c>
      <c r="M5" s="44" t="s">
        <v>184</v>
      </c>
      <c r="N5" s="44"/>
      <c r="O5" s="44"/>
      <c r="P5" s="44"/>
      <c r="Q5" s="59"/>
      <c r="R5" s="91"/>
      <c r="S5" s="11"/>
      <c r="T5" s="11"/>
      <c r="U5" s="92"/>
      <c r="V5" s="68"/>
      <c r="W5" s="11"/>
      <c r="X5" s="11"/>
      <c r="Y5" s="11"/>
      <c r="Z5" s="11"/>
      <c r="AA5" s="11"/>
      <c r="AB5" s="20"/>
      <c r="AC5" s="114"/>
      <c r="AD5" s="104"/>
      <c r="AE5" s="105"/>
      <c r="AF5" s="106"/>
      <c r="AG5" s="100"/>
      <c r="AH5" s="12" t="s">
        <v>23</v>
      </c>
    </row>
    <row r="6" spans="2:34" ht="15.75" x14ac:dyDescent="0.25">
      <c r="B6" s="73">
        <v>2000</v>
      </c>
      <c r="C6" s="78" t="s">
        <v>49</v>
      </c>
      <c r="D6" s="70" t="s">
        <v>54</v>
      </c>
      <c r="E6" s="70" t="s">
        <v>113</v>
      </c>
      <c r="F6" s="121">
        <v>36649</v>
      </c>
      <c r="G6" s="84" t="s">
        <v>154</v>
      </c>
      <c r="H6" s="46"/>
      <c r="I6" s="87"/>
      <c r="J6" s="87" t="s">
        <v>154</v>
      </c>
      <c r="K6" s="88"/>
      <c r="L6" s="82"/>
      <c r="M6" s="46"/>
      <c r="N6" s="46"/>
      <c r="O6" s="46"/>
      <c r="P6" s="46"/>
      <c r="Q6" s="61"/>
      <c r="R6" s="95" t="s">
        <v>49</v>
      </c>
      <c r="S6" s="36"/>
      <c r="T6" s="36"/>
      <c r="U6" s="96"/>
      <c r="V6" s="70"/>
      <c r="W6" s="36"/>
      <c r="X6" s="36"/>
      <c r="Y6" s="36"/>
      <c r="Z6" s="36"/>
      <c r="AA6" s="36"/>
      <c r="AB6" s="35"/>
      <c r="AC6" s="116"/>
      <c r="AD6" s="107"/>
      <c r="AE6" s="108"/>
      <c r="AF6" s="110"/>
      <c r="AG6" s="102" t="s">
        <v>137</v>
      </c>
      <c r="AH6" s="37" t="s">
        <v>155</v>
      </c>
    </row>
    <row r="7" spans="2:34" ht="15.75" x14ac:dyDescent="0.25">
      <c r="B7" s="73">
        <v>2002</v>
      </c>
      <c r="C7" s="77" t="s">
        <v>43</v>
      </c>
      <c r="D7" s="70"/>
      <c r="E7" s="70" t="s">
        <v>26</v>
      </c>
      <c r="F7" s="121">
        <v>37367</v>
      </c>
      <c r="G7" s="84" t="s">
        <v>154</v>
      </c>
      <c r="H7" s="46" t="s">
        <v>154</v>
      </c>
      <c r="I7" s="87" t="s">
        <v>154</v>
      </c>
      <c r="J7" s="87" t="s">
        <v>154</v>
      </c>
      <c r="K7" s="88" t="s">
        <v>154</v>
      </c>
      <c r="L7" s="82"/>
      <c r="M7" s="46">
        <v>1</v>
      </c>
      <c r="N7" s="46">
        <v>1</v>
      </c>
      <c r="O7" s="46"/>
      <c r="P7" s="46"/>
      <c r="Q7" s="61"/>
      <c r="R7" s="95" t="s">
        <v>43</v>
      </c>
      <c r="S7" s="36" t="s">
        <v>158</v>
      </c>
      <c r="T7" s="49" t="s">
        <v>170</v>
      </c>
      <c r="U7" s="96">
        <v>45883</v>
      </c>
      <c r="V7" s="70">
        <v>79</v>
      </c>
      <c r="W7" s="36">
        <v>17</v>
      </c>
      <c r="X7" s="36"/>
      <c r="Y7" s="36">
        <v>0.5</v>
      </c>
      <c r="Z7" s="36">
        <v>1</v>
      </c>
      <c r="AA7" s="36">
        <v>9.5</v>
      </c>
      <c r="AB7" s="35">
        <v>0.04</v>
      </c>
      <c r="AC7" s="116">
        <f>AB7*1000000/(V7*AA7)</f>
        <v>53.297801465689538</v>
      </c>
      <c r="AD7" s="107" t="s">
        <v>154</v>
      </c>
      <c r="AE7" s="108" t="s">
        <v>154</v>
      </c>
      <c r="AF7" s="110"/>
      <c r="AG7" s="102" t="s">
        <v>131</v>
      </c>
      <c r="AH7" s="37" t="s">
        <v>172</v>
      </c>
    </row>
    <row r="8" spans="2:34" ht="15.75" x14ac:dyDescent="0.25">
      <c r="B8" s="73">
        <v>2002</v>
      </c>
      <c r="C8" s="77" t="s">
        <v>44</v>
      </c>
      <c r="D8" s="70"/>
      <c r="E8" s="70" t="s">
        <v>26</v>
      </c>
      <c r="F8" s="121">
        <v>37367</v>
      </c>
      <c r="G8" s="84" t="s">
        <v>154</v>
      </c>
      <c r="H8" s="46" t="s">
        <v>154</v>
      </c>
      <c r="I8" s="87" t="s">
        <v>154</v>
      </c>
      <c r="J8" s="87" t="s">
        <v>154</v>
      </c>
      <c r="K8" s="88" t="s">
        <v>154</v>
      </c>
      <c r="L8" s="82"/>
      <c r="M8" s="46">
        <v>1</v>
      </c>
      <c r="N8" s="46">
        <v>1</v>
      </c>
      <c r="O8" s="46"/>
      <c r="P8" s="46"/>
      <c r="Q8" s="61"/>
      <c r="R8" s="95" t="s">
        <v>44</v>
      </c>
      <c r="S8" s="36" t="s">
        <v>158</v>
      </c>
      <c r="T8" s="49" t="s">
        <v>170</v>
      </c>
      <c r="U8" s="96">
        <v>45883</v>
      </c>
      <c r="V8" s="70">
        <v>21</v>
      </c>
      <c r="W8" s="36">
        <v>36</v>
      </c>
      <c r="X8" s="36"/>
      <c r="Y8" s="36">
        <v>0.5</v>
      </c>
      <c r="Z8" s="36">
        <v>1</v>
      </c>
      <c r="AA8" s="36">
        <v>4.7</v>
      </c>
      <c r="AB8" s="35">
        <v>0.02</v>
      </c>
      <c r="AC8" s="116">
        <f>AB8*1000000/(V8*AA8)</f>
        <v>202.63424518743668</v>
      </c>
      <c r="AD8" s="107" t="s">
        <v>154</v>
      </c>
      <c r="AE8" s="108" t="s">
        <v>154</v>
      </c>
      <c r="AF8" s="110" t="s">
        <v>154</v>
      </c>
      <c r="AG8" s="102" t="s">
        <v>136</v>
      </c>
      <c r="AH8" s="37" t="s">
        <v>171</v>
      </c>
    </row>
    <row r="9" spans="2:34" ht="15.75" x14ac:dyDescent="0.25">
      <c r="B9" s="73">
        <v>2002</v>
      </c>
      <c r="C9" s="77" t="s">
        <v>45</v>
      </c>
      <c r="D9" s="70"/>
      <c r="E9" s="70" t="s">
        <v>26</v>
      </c>
      <c r="F9" s="121">
        <v>37367</v>
      </c>
      <c r="G9" s="84" t="s">
        <v>154</v>
      </c>
      <c r="H9" s="46" t="s">
        <v>154</v>
      </c>
      <c r="I9" s="87" t="s">
        <v>154</v>
      </c>
      <c r="J9" s="87" t="s">
        <v>154</v>
      </c>
      <c r="K9" s="88" t="s">
        <v>154</v>
      </c>
      <c r="L9" s="82"/>
      <c r="M9" s="46">
        <v>1</v>
      </c>
      <c r="N9" s="46">
        <v>1</v>
      </c>
      <c r="O9" s="46"/>
      <c r="P9" s="46"/>
      <c r="Q9" s="61"/>
      <c r="R9" s="95" t="s">
        <v>45</v>
      </c>
      <c r="S9" s="36" t="s">
        <v>158</v>
      </c>
      <c r="T9" s="49" t="s">
        <v>170</v>
      </c>
      <c r="U9" s="96">
        <v>45883</v>
      </c>
      <c r="V9" s="70">
        <v>114</v>
      </c>
      <c r="W9" s="36">
        <v>17</v>
      </c>
      <c r="X9" s="36"/>
      <c r="Y9" s="36">
        <v>0.5</v>
      </c>
      <c r="Z9" s="36">
        <v>1</v>
      </c>
      <c r="AA9" s="36">
        <v>9.6999999999999993</v>
      </c>
      <c r="AB9" s="35">
        <v>0.04</v>
      </c>
      <c r="AC9" s="116">
        <f>AB9*1000000/(V9*AA9)</f>
        <v>36.17290649303672</v>
      </c>
      <c r="AD9" s="107" t="s">
        <v>154</v>
      </c>
      <c r="AE9" s="108" t="s">
        <v>154</v>
      </c>
      <c r="AF9" s="110"/>
      <c r="AG9" s="102" t="s">
        <v>131</v>
      </c>
      <c r="AH9" s="37" t="s">
        <v>173</v>
      </c>
    </row>
    <row r="10" spans="2:34" s="38" customFormat="1" ht="15.75" x14ac:dyDescent="0.25">
      <c r="B10" s="73">
        <v>2002</v>
      </c>
      <c r="C10" s="77" t="s">
        <v>46</v>
      </c>
      <c r="D10" s="70"/>
      <c r="E10" s="70" t="s">
        <v>26</v>
      </c>
      <c r="F10" s="121">
        <v>37367</v>
      </c>
      <c r="G10" s="84" t="s">
        <v>154</v>
      </c>
      <c r="H10" s="46" t="s">
        <v>154</v>
      </c>
      <c r="I10" s="87" t="s">
        <v>154</v>
      </c>
      <c r="J10" s="87" t="s">
        <v>154</v>
      </c>
      <c r="K10" s="88" t="s">
        <v>154</v>
      </c>
      <c r="L10" s="82"/>
      <c r="M10" s="46">
        <v>4</v>
      </c>
      <c r="N10" s="46">
        <v>4</v>
      </c>
      <c r="O10" s="46"/>
      <c r="P10" s="46"/>
      <c r="Q10" s="61"/>
      <c r="R10" s="95" t="s">
        <v>46</v>
      </c>
      <c r="S10" s="36" t="s">
        <v>158</v>
      </c>
      <c r="T10" s="49" t="s">
        <v>170</v>
      </c>
      <c r="U10" s="96">
        <v>45883</v>
      </c>
      <c r="V10" s="70">
        <v>124</v>
      </c>
      <c r="W10" s="36">
        <v>21</v>
      </c>
      <c r="X10" s="36"/>
      <c r="Y10" s="36">
        <v>0.5</v>
      </c>
      <c r="Z10" s="36">
        <v>1</v>
      </c>
      <c r="AA10" s="36">
        <v>9.4</v>
      </c>
      <c r="AB10" s="35">
        <v>0.15</v>
      </c>
      <c r="AC10" s="116">
        <f>AB10*1000000/(V10*AA10)</f>
        <v>128.68908716540835</v>
      </c>
      <c r="AD10" s="107" t="s">
        <v>154</v>
      </c>
      <c r="AE10" s="108" t="s">
        <v>154</v>
      </c>
      <c r="AF10" s="110"/>
      <c r="AG10" s="102" t="s">
        <v>131</v>
      </c>
      <c r="AH10" s="37" t="s">
        <v>172</v>
      </c>
    </row>
    <row r="11" spans="2:34" s="38" customFormat="1" ht="15.75" x14ac:dyDescent="0.25">
      <c r="B11" s="73">
        <v>2002</v>
      </c>
      <c r="C11" s="77" t="s">
        <v>47</v>
      </c>
      <c r="D11" s="70"/>
      <c r="E11" s="70" t="s">
        <v>26</v>
      </c>
      <c r="F11" s="121">
        <v>37367</v>
      </c>
      <c r="G11" s="84" t="s">
        <v>154</v>
      </c>
      <c r="H11" s="46" t="s">
        <v>154</v>
      </c>
      <c r="I11" s="87" t="s">
        <v>154</v>
      </c>
      <c r="J11" s="87" t="s">
        <v>154</v>
      </c>
      <c r="K11" s="88" t="s">
        <v>154</v>
      </c>
      <c r="L11" s="82"/>
      <c r="M11" s="46">
        <v>4</v>
      </c>
      <c r="N11" s="46">
        <v>4</v>
      </c>
      <c r="O11" s="46"/>
      <c r="P11" s="46"/>
      <c r="Q11" s="61"/>
      <c r="R11" s="95" t="s">
        <v>47</v>
      </c>
      <c r="S11" s="36" t="s">
        <v>158</v>
      </c>
      <c r="T11" s="49" t="s">
        <v>170</v>
      </c>
      <c r="U11" s="96">
        <v>45883</v>
      </c>
      <c r="V11" s="70">
        <v>172</v>
      </c>
      <c r="W11" s="36">
        <v>21</v>
      </c>
      <c r="X11" s="36"/>
      <c r="Y11" s="36">
        <v>0.5</v>
      </c>
      <c r="Z11" s="36">
        <v>1</v>
      </c>
      <c r="AA11" s="36">
        <v>11.5</v>
      </c>
      <c r="AB11" s="35">
        <v>0.15</v>
      </c>
      <c r="AC11" s="116">
        <f>AB11*1000000/(V11*AA11)</f>
        <v>75.834175935288172</v>
      </c>
      <c r="AD11" s="107" t="s">
        <v>154</v>
      </c>
      <c r="AE11" s="108" t="s">
        <v>154</v>
      </c>
      <c r="AF11" s="110"/>
      <c r="AG11" s="102" t="s">
        <v>131</v>
      </c>
      <c r="AH11" s="37" t="s">
        <v>173</v>
      </c>
    </row>
    <row r="12" spans="2:34" s="38" customFormat="1" ht="15.75" x14ac:dyDescent="0.25">
      <c r="B12" s="73">
        <v>2009</v>
      </c>
      <c r="C12" s="76" t="s">
        <v>41</v>
      </c>
      <c r="D12" s="69" t="s">
        <v>66</v>
      </c>
      <c r="E12" s="69" t="s">
        <v>55</v>
      </c>
      <c r="F12" s="120">
        <v>39970</v>
      </c>
      <c r="G12" s="124"/>
      <c r="H12" s="45"/>
      <c r="I12" s="87" t="s">
        <v>154</v>
      </c>
      <c r="J12" s="87"/>
      <c r="K12" s="88"/>
      <c r="L12" s="81"/>
      <c r="M12" s="45"/>
      <c r="N12" s="45"/>
      <c r="O12" s="45"/>
      <c r="P12" s="45"/>
      <c r="Q12" s="60"/>
      <c r="R12" s="93" t="s">
        <v>66</v>
      </c>
      <c r="S12" s="14"/>
      <c r="T12" s="14"/>
      <c r="U12" s="94"/>
      <c r="V12" s="69"/>
      <c r="W12" s="14"/>
      <c r="X12" s="14"/>
      <c r="Y12" s="14"/>
      <c r="Z12" s="14"/>
      <c r="AA12" s="14"/>
      <c r="AB12" s="21"/>
      <c r="AC12" s="115"/>
      <c r="AD12" s="107"/>
      <c r="AE12" s="108"/>
      <c r="AF12" s="109"/>
      <c r="AG12" s="101"/>
      <c r="AH12" s="15"/>
    </row>
    <row r="13" spans="2:34" ht="15.75" x14ac:dyDescent="0.25">
      <c r="B13" s="73">
        <v>2009</v>
      </c>
      <c r="C13" s="76" t="s">
        <v>205</v>
      </c>
      <c r="D13" s="69"/>
      <c r="E13" s="69" t="s">
        <v>26</v>
      </c>
      <c r="F13" s="120">
        <v>39968</v>
      </c>
      <c r="G13" s="124"/>
      <c r="H13" s="45"/>
      <c r="I13" s="87"/>
      <c r="J13" s="87"/>
      <c r="K13" s="88" t="s">
        <v>154</v>
      </c>
      <c r="L13" s="81">
        <v>9</v>
      </c>
      <c r="M13" s="45">
        <v>8</v>
      </c>
      <c r="N13" s="45">
        <v>8</v>
      </c>
      <c r="O13" s="45">
        <v>11</v>
      </c>
      <c r="P13" s="45"/>
      <c r="Q13" s="60"/>
      <c r="R13" s="93" t="s">
        <v>206</v>
      </c>
      <c r="S13" s="14" t="s">
        <v>177</v>
      </c>
      <c r="T13" s="14" t="s">
        <v>175</v>
      </c>
      <c r="U13" s="97">
        <v>39968</v>
      </c>
      <c r="V13" s="69">
        <v>92</v>
      </c>
      <c r="W13" s="14">
        <v>61</v>
      </c>
      <c r="X13" s="14"/>
      <c r="Y13" s="14">
        <v>1</v>
      </c>
      <c r="Z13" s="14">
        <v>1</v>
      </c>
      <c r="AA13" s="14">
        <v>2.2000000000000002</v>
      </c>
      <c r="AB13" s="21">
        <v>0.33</v>
      </c>
      <c r="AC13" s="117">
        <f>AB13*1000000/(V13*AA13)</f>
        <v>1630.4347826086955</v>
      </c>
      <c r="AD13" s="107" t="s">
        <v>154</v>
      </c>
      <c r="AE13" s="108" t="s">
        <v>154</v>
      </c>
      <c r="AF13" s="109"/>
      <c r="AG13" s="101"/>
      <c r="AH13" s="15" t="s">
        <v>209</v>
      </c>
    </row>
    <row r="14" spans="2:34" ht="15.75" x14ac:dyDescent="0.25">
      <c r="B14" s="73">
        <v>2009</v>
      </c>
      <c r="C14" s="76" t="s">
        <v>205</v>
      </c>
      <c r="D14" s="69"/>
      <c r="E14" s="69" t="s">
        <v>26</v>
      </c>
      <c r="F14" s="120">
        <v>39968</v>
      </c>
      <c r="G14" s="124"/>
      <c r="H14" s="45"/>
      <c r="I14" s="87"/>
      <c r="J14" s="87"/>
      <c r="K14" s="88" t="s">
        <v>154</v>
      </c>
      <c r="L14" s="81">
        <v>9</v>
      </c>
      <c r="M14" s="45">
        <v>8</v>
      </c>
      <c r="N14" s="45">
        <v>8</v>
      </c>
      <c r="O14" s="45">
        <v>11</v>
      </c>
      <c r="P14" s="45"/>
      <c r="Q14" s="60"/>
      <c r="R14" s="93" t="s">
        <v>206</v>
      </c>
      <c r="S14" s="14" t="s">
        <v>207</v>
      </c>
      <c r="T14" s="14" t="s">
        <v>175</v>
      </c>
      <c r="U14" s="94">
        <v>39968</v>
      </c>
      <c r="V14" s="69">
        <v>114</v>
      </c>
      <c r="W14" s="14">
        <v>89</v>
      </c>
      <c r="X14" s="14"/>
      <c r="Y14" s="14">
        <v>1</v>
      </c>
      <c r="Z14" s="14">
        <v>1</v>
      </c>
      <c r="AA14" s="14">
        <v>4.5</v>
      </c>
      <c r="AB14" s="21">
        <v>0.33</v>
      </c>
      <c r="AC14" s="116">
        <f>AB14*1000000/(V14*AA14)</f>
        <v>643.27485380116957</v>
      </c>
      <c r="AD14" s="107" t="s">
        <v>154</v>
      </c>
      <c r="AE14" s="108" t="s">
        <v>154</v>
      </c>
      <c r="AF14" s="109"/>
      <c r="AG14" s="101"/>
      <c r="AH14" s="15" t="s">
        <v>208</v>
      </c>
    </row>
    <row r="15" spans="2:34" s="38" customFormat="1" ht="15.75" x14ac:dyDescent="0.25">
      <c r="B15" s="73">
        <v>2013</v>
      </c>
      <c r="C15" s="76" t="s">
        <v>67</v>
      </c>
      <c r="D15" s="69"/>
      <c r="E15" s="69" t="s">
        <v>57</v>
      </c>
      <c r="F15" s="120">
        <v>41478</v>
      </c>
      <c r="G15" s="124"/>
      <c r="H15" s="45"/>
      <c r="I15" s="87" t="s">
        <v>154</v>
      </c>
      <c r="J15" s="87" t="s">
        <v>154</v>
      </c>
      <c r="K15" s="88" t="s">
        <v>154</v>
      </c>
      <c r="L15" s="81"/>
      <c r="M15" s="45"/>
      <c r="N15" s="45"/>
      <c r="O15" s="45"/>
      <c r="P15" s="45"/>
      <c r="Q15" s="60"/>
      <c r="R15" s="93" t="s">
        <v>179</v>
      </c>
      <c r="S15" s="14" t="s">
        <v>177</v>
      </c>
      <c r="T15" s="14" t="s">
        <v>175</v>
      </c>
      <c r="U15" s="94">
        <v>42162</v>
      </c>
      <c r="V15" s="69"/>
      <c r="W15" s="14"/>
      <c r="X15" s="14"/>
      <c r="Y15" s="14"/>
      <c r="Z15" s="14"/>
      <c r="AA15" s="14"/>
      <c r="AB15" s="21"/>
      <c r="AC15" s="115"/>
      <c r="AD15" s="107"/>
      <c r="AE15" s="108"/>
      <c r="AF15" s="109"/>
      <c r="AG15" s="101"/>
      <c r="AH15" s="15" t="s">
        <v>223</v>
      </c>
    </row>
    <row r="16" spans="2:34" s="38" customFormat="1" ht="15.75" x14ac:dyDescent="0.25">
      <c r="B16" s="73">
        <v>2014</v>
      </c>
      <c r="C16" s="76" t="s">
        <v>211</v>
      </c>
      <c r="D16" s="69" t="s">
        <v>212</v>
      </c>
      <c r="E16" s="69" t="s">
        <v>22</v>
      </c>
      <c r="F16" s="120">
        <v>36421</v>
      </c>
      <c r="G16" s="124"/>
      <c r="H16" s="45"/>
      <c r="I16" s="87" t="s">
        <v>154</v>
      </c>
      <c r="J16" s="87"/>
      <c r="K16" s="88"/>
      <c r="L16" s="81"/>
      <c r="M16" s="45" t="s">
        <v>183</v>
      </c>
      <c r="N16" s="45"/>
      <c r="O16" s="45"/>
      <c r="P16" s="45"/>
      <c r="Q16" s="60"/>
      <c r="R16" s="93"/>
      <c r="S16" s="14"/>
      <c r="T16" s="14"/>
      <c r="U16" s="94"/>
      <c r="V16" s="69"/>
      <c r="W16" s="14"/>
      <c r="X16" s="14"/>
      <c r="Y16" s="14"/>
      <c r="Z16" s="14"/>
      <c r="AA16" s="14"/>
      <c r="AB16" s="21"/>
      <c r="AC16" s="115"/>
      <c r="AD16" s="107"/>
      <c r="AE16" s="108"/>
      <c r="AF16" s="109"/>
      <c r="AG16" s="101"/>
      <c r="AH16" s="15" t="s">
        <v>35</v>
      </c>
    </row>
    <row r="17" spans="2:34" s="38" customFormat="1" ht="15.75" x14ac:dyDescent="0.25">
      <c r="B17" s="73">
        <v>2014</v>
      </c>
      <c r="C17" s="77" t="s">
        <v>48</v>
      </c>
      <c r="D17" s="70"/>
      <c r="E17" s="70" t="s">
        <v>26</v>
      </c>
      <c r="F17" s="121">
        <v>39970</v>
      </c>
      <c r="G17" s="84"/>
      <c r="H17" s="46"/>
      <c r="I17" s="87" t="s">
        <v>154</v>
      </c>
      <c r="J17" s="87" t="s">
        <v>154</v>
      </c>
      <c r="K17" s="88" t="s">
        <v>154</v>
      </c>
      <c r="L17" s="82">
        <v>18</v>
      </c>
      <c r="M17" s="46">
        <v>16</v>
      </c>
      <c r="N17" s="46">
        <v>16</v>
      </c>
      <c r="O17" s="46"/>
      <c r="P17" s="46"/>
      <c r="Q17" s="61"/>
      <c r="R17" s="95" t="s">
        <v>178</v>
      </c>
      <c r="S17" s="36" t="s">
        <v>176</v>
      </c>
      <c r="T17" s="36" t="s">
        <v>175</v>
      </c>
      <c r="U17" s="96">
        <v>41395</v>
      </c>
      <c r="V17" s="70">
        <v>1214</v>
      </c>
      <c r="W17" s="36">
        <v>297</v>
      </c>
      <c r="X17" s="36"/>
      <c r="Y17" s="36">
        <v>20</v>
      </c>
      <c r="Z17" s="36">
        <v>2</v>
      </c>
      <c r="AA17" s="36">
        <v>11.85</v>
      </c>
      <c r="AB17" s="35">
        <v>0.67</v>
      </c>
      <c r="AC17" s="116">
        <f>AB17*1000000/(V17*AA17)</f>
        <v>46.573380879889335</v>
      </c>
      <c r="AD17" s="107"/>
      <c r="AE17" s="108"/>
      <c r="AF17" s="110"/>
      <c r="AG17" s="102" t="s">
        <v>174</v>
      </c>
      <c r="AH17" s="37" t="s">
        <v>185</v>
      </c>
    </row>
    <row r="18" spans="2:34" s="38" customFormat="1" ht="15.75" x14ac:dyDescent="0.25">
      <c r="B18" s="73">
        <v>2016</v>
      </c>
      <c r="C18" s="77" t="s">
        <v>39</v>
      </c>
      <c r="D18" s="70"/>
      <c r="E18" s="70" t="s">
        <v>56</v>
      </c>
      <c r="F18" s="121">
        <v>36590</v>
      </c>
      <c r="G18" s="84" t="s">
        <v>154</v>
      </c>
      <c r="H18" s="46"/>
      <c r="I18" s="87" t="s">
        <v>154</v>
      </c>
      <c r="J18" s="87" t="s">
        <v>154</v>
      </c>
      <c r="K18" s="88"/>
      <c r="L18" s="82"/>
      <c r="M18" s="46"/>
      <c r="N18" s="46"/>
      <c r="O18" s="46"/>
      <c r="P18" s="46"/>
      <c r="Q18" s="61"/>
      <c r="R18" s="95"/>
      <c r="S18" s="36"/>
      <c r="T18" s="36"/>
      <c r="U18" s="96"/>
      <c r="V18" s="70"/>
      <c r="W18" s="36"/>
      <c r="X18" s="36"/>
      <c r="Y18" s="36"/>
      <c r="Z18" s="36"/>
      <c r="AA18" s="36"/>
      <c r="AB18" s="35"/>
      <c r="AC18" s="116"/>
      <c r="AD18" s="107"/>
      <c r="AE18" s="108"/>
      <c r="AF18" s="110"/>
      <c r="AG18" s="102" t="s">
        <v>138</v>
      </c>
      <c r="AH18" s="37"/>
    </row>
    <row r="19" spans="2:34" s="38" customFormat="1" ht="15.75" x14ac:dyDescent="0.25">
      <c r="B19" s="73">
        <v>2016</v>
      </c>
      <c r="C19" s="77" t="s">
        <v>52</v>
      </c>
      <c r="D19" s="70"/>
      <c r="E19" s="70" t="s">
        <v>58</v>
      </c>
      <c r="F19" s="121">
        <v>42529</v>
      </c>
      <c r="G19" s="84" t="s">
        <v>154</v>
      </c>
      <c r="H19" s="46"/>
      <c r="I19" s="87" t="s">
        <v>154</v>
      </c>
      <c r="J19" s="87" t="s">
        <v>154</v>
      </c>
      <c r="K19" s="88" t="s">
        <v>154</v>
      </c>
      <c r="L19" s="82">
        <v>24</v>
      </c>
      <c r="M19" s="46">
        <v>24</v>
      </c>
      <c r="N19" s="46">
        <v>24</v>
      </c>
      <c r="O19" s="46">
        <v>24</v>
      </c>
      <c r="P19" s="46"/>
      <c r="Q19" s="61"/>
      <c r="R19" s="95" t="s">
        <v>164</v>
      </c>
      <c r="S19" s="36" t="s">
        <v>158</v>
      </c>
      <c r="T19" s="36" t="s">
        <v>157</v>
      </c>
      <c r="U19" s="96">
        <v>45883</v>
      </c>
      <c r="V19" s="70">
        <v>402</v>
      </c>
      <c r="W19" s="36">
        <v>96</v>
      </c>
      <c r="X19" s="36">
        <v>1</v>
      </c>
      <c r="Y19" s="36">
        <v>0.5</v>
      </c>
      <c r="Z19" s="36">
        <v>1</v>
      </c>
      <c r="AA19" s="36">
        <v>9.6999999999999993</v>
      </c>
      <c r="AB19" s="35">
        <v>0.8</v>
      </c>
      <c r="AC19" s="116">
        <f>AB19*1000000/(V19*AA19)</f>
        <v>205.15976816946198</v>
      </c>
      <c r="AD19" s="107" t="s">
        <v>154</v>
      </c>
      <c r="AE19" s="108" t="s">
        <v>154</v>
      </c>
      <c r="AF19" s="110"/>
      <c r="AG19" s="102"/>
      <c r="AH19" s="37"/>
    </row>
    <row r="20" spans="2:34" ht="15.75" x14ac:dyDescent="0.25">
      <c r="B20" s="73">
        <v>2016</v>
      </c>
      <c r="C20" s="76" t="s">
        <v>51</v>
      </c>
      <c r="D20" s="69"/>
      <c r="E20" s="69" t="s">
        <v>58</v>
      </c>
      <c r="F20" s="120">
        <v>45124</v>
      </c>
      <c r="G20" s="84" t="s">
        <v>154</v>
      </c>
      <c r="H20" s="46"/>
      <c r="I20" s="87" t="s">
        <v>154</v>
      </c>
      <c r="J20" s="87" t="s">
        <v>154</v>
      </c>
      <c r="K20" s="88" t="s">
        <v>154</v>
      </c>
      <c r="L20" s="81">
        <v>24</v>
      </c>
      <c r="M20" s="45" t="s">
        <v>192</v>
      </c>
      <c r="N20" s="45">
        <v>24</v>
      </c>
      <c r="O20" s="45"/>
      <c r="P20" s="45"/>
      <c r="Q20" s="60" t="s">
        <v>198</v>
      </c>
      <c r="R20" s="93"/>
      <c r="S20" s="14"/>
      <c r="T20" s="14"/>
      <c r="U20" s="94"/>
      <c r="V20" s="69"/>
      <c r="W20" s="14"/>
      <c r="X20" s="14"/>
      <c r="Y20" s="14"/>
      <c r="Z20" s="14"/>
      <c r="AA20" s="14"/>
      <c r="AB20" s="21"/>
      <c r="AC20" s="115"/>
      <c r="AD20" s="107"/>
      <c r="AE20" s="108"/>
      <c r="AF20" s="109"/>
      <c r="AG20" s="101"/>
      <c r="AH20" s="15"/>
    </row>
    <row r="21" spans="2:34" ht="15.75" x14ac:dyDescent="0.25">
      <c r="B21" s="73">
        <v>2018</v>
      </c>
      <c r="C21" s="76" t="s">
        <v>37</v>
      </c>
      <c r="D21" s="69"/>
      <c r="E21" s="69" t="s">
        <v>57</v>
      </c>
      <c r="F21" s="120">
        <v>42258</v>
      </c>
      <c r="G21" s="124"/>
      <c r="H21" s="45"/>
      <c r="I21" s="87" t="s">
        <v>154</v>
      </c>
      <c r="J21" s="87" t="s">
        <v>154</v>
      </c>
      <c r="K21" s="88" t="s">
        <v>154</v>
      </c>
      <c r="L21" s="81">
        <v>12</v>
      </c>
      <c r="M21" s="45">
        <v>12</v>
      </c>
      <c r="N21" s="45">
        <v>12</v>
      </c>
      <c r="O21" s="45">
        <v>12</v>
      </c>
      <c r="P21" s="45"/>
      <c r="Q21" s="60"/>
      <c r="R21" s="93" t="s">
        <v>203</v>
      </c>
      <c r="S21" s="14" t="s">
        <v>202</v>
      </c>
      <c r="T21" s="14" t="s">
        <v>175</v>
      </c>
      <c r="U21" s="94">
        <v>43397</v>
      </c>
      <c r="V21" s="69">
        <v>201</v>
      </c>
      <c r="W21" s="14">
        <v>31</v>
      </c>
      <c r="X21" s="14">
        <v>0</v>
      </c>
      <c r="Y21" s="14">
        <v>0</v>
      </c>
      <c r="Z21" s="14">
        <v>1</v>
      </c>
      <c r="AA21" s="14">
        <v>4.5</v>
      </c>
      <c r="AB21" s="21">
        <v>0.5</v>
      </c>
      <c r="AC21" s="115"/>
      <c r="AD21" s="107"/>
      <c r="AE21" s="108"/>
      <c r="AF21" s="109"/>
      <c r="AG21" s="101"/>
      <c r="AH21" s="15" t="s">
        <v>204</v>
      </c>
    </row>
    <row r="22" spans="2:34" ht="15.75" x14ac:dyDescent="0.25">
      <c r="B22" s="73">
        <v>2018</v>
      </c>
      <c r="C22" s="77" t="s">
        <v>40</v>
      </c>
      <c r="D22" s="70"/>
      <c r="E22" s="70" t="s">
        <v>56</v>
      </c>
      <c r="F22" s="121">
        <v>36590</v>
      </c>
      <c r="G22" s="84" t="s">
        <v>154</v>
      </c>
      <c r="H22" s="46"/>
      <c r="I22" s="87" t="s">
        <v>154</v>
      </c>
      <c r="J22" s="87" t="s">
        <v>154</v>
      </c>
      <c r="K22" s="88"/>
      <c r="L22" s="82"/>
      <c r="M22" s="46"/>
      <c r="N22" s="46"/>
      <c r="O22" s="46"/>
      <c r="P22" s="46"/>
      <c r="Q22" s="61"/>
      <c r="R22" s="95"/>
      <c r="S22" s="36"/>
      <c r="T22" s="36"/>
      <c r="U22" s="96"/>
      <c r="V22" s="70"/>
      <c r="W22" s="36"/>
      <c r="X22" s="36"/>
      <c r="Y22" s="36"/>
      <c r="Z22" s="36"/>
      <c r="AA22" s="36"/>
      <c r="AB22" s="35"/>
      <c r="AC22" s="116"/>
      <c r="AD22" s="107"/>
      <c r="AE22" s="108"/>
      <c r="AF22" s="110"/>
      <c r="AG22" s="102" t="s">
        <v>139</v>
      </c>
      <c r="AH22" s="37"/>
    </row>
    <row r="23" spans="2:34" s="38" customFormat="1" ht="15.75" x14ac:dyDescent="0.25">
      <c r="B23" s="73">
        <v>2018</v>
      </c>
      <c r="C23" s="77" t="s">
        <v>42</v>
      </c>
      <c r="D23" s="70"/>
      <c r="E23" s="70" t="s">
        <v>56</v>
      </c>
      <c r="F23" s="121">
        <v>36590</v>
      </c>
      <c r="G23" s="84" t="s">
        <v>154</v>
      </c>
      <c r="H23" s="46"/>
      <c r="I23" s="87" t="s">
        <v>154</v>
      </c>
      <c r="J23" s="87" t="s">
        <v>154</v>
      </c>
      <c r="K23" s="88"/>
      <c r="L23" s="82"/>
      <c r="M23" s="46"/>
      <c r="N23" s="46"/>
      <c r="O23" s="46"/>
      <c r="P23" s="46"/>
      <c r="Q23" s="61"/>
      <c r="R23" s="95"/>
      <c r="S23" s="36"/>
      <c r="T23" s="36"/>
      <c r="U23" s="96"/>
      <c r="V23" s="70"/>
      <c r="W23" s="36"/>
      <c r="X23" s="36"/>
      <c r="Y23" s="36"/>
      <c r="Z23" s="36"/>
      <c r="AA23" s="36"/>
      <c r="AB23" s="35"/>
      <c r="AC23" s="116"/>
      <c r="AD23" s="107"/>
      <c r="AE23" s="108"/>
      <c r="AF23" s="110"/>
      <c r="AG23" s="102" t="s">
        <v>140</v>
      </c>
      <c r="AH23" s="37"/>
    </row>
    <row r="24" spans="2:34" s="38" customFormat="1" ht="15.75" x14ac:dyDescent="0.25">
      <c r="B24" s="73">
        <v>2020</v>
      </c>
      <c r="C24" s="76" t="s">
        <v>27</v>
      </c>
      <c r="D24" s="69" t="s">
        <v>135</v>
      </c>
      <c r="E24" s="69" t="s">
        <v>57</v>
      </c>
      <c r="F24" s="120">
        <v>44192</v>
      </c>
      <c r="G24" s="124"/>
      <c r="H24" s="45"/>
      <c r="I24" s="87" t="s">
        <v>154</v>
      </c>
      <c r="J24" s="87" t="s">
        <v>154</v>
      </c>
      <c r="K24" s="88"/>
      <c r="L24" s="81"/>
      <c r="M24" s="45"/>
      <c r="N24" s="45"/>
      <c r="O24" s="45"/>
      <c r="P24" s="45"/>
      <c r="Q24" s="60"/>
      <c r="R24" s="93"/>
      <c r="S24" s="14"/>
      <c r="T24" s="14"/>
      <c r="U24" s="94"/>
      <c r="V24" s="69"/>
      <c r="W24" s="14"/>
      <c r="X24" s="14"/>
      <c r="Y24" s="14"/>
      <c r="Z24" s="14"/>
      <c r="AA24" s="14"/>
      <c r="AB24" s="21"/>
      <c r="AC24" s="115"/>
      <c r="AD24" s="107"/>
      <c r="AE24" s="108"/>
      <c r="AF24" s="109"/>
      <c r="AG24" s="101" t="s">
        <v>134</v>
      </c>
      <c r="AH24" s="15"/>
    </row>
    <row r="25" spans="2:34" ht="15.75" x14ac:dyDescent="0.25">
      <c r="B25" s="73">
        <v>2020</v>
      </c>
      <c r="C25" s="76" t="s">
        <v>50</v>
      </c>
      <c r="D25" s="69"/>
      <c r="E25" s="69" t="s">
        <v>58</v>
      </c>
      <c r="F25" s="126">
        <v>44326</v>
      </c>
      <c r="G25" s="124"/>
      <c r="H25" s="45"/>
      <c r="I25" s="87" t="s">
        <v>154</v>
      </c>
      <c r="J25" s="87" t="s">
        <v>154</v>
      </c>
      <c r="K25" s="88"/>
      <c r="L25" s="81"/>
      <c r="M25" s="45"/>
      <c r="N25" s="45"/>
      <c r="O25" s="45"/>
      <c r="P25" s="45"/>
      <c r="Q25" s="60"/>
      <c r="R25" s="93"/>
      <c r="S25" s="14"/>
      <c r="T25" s="14"/>
      <c r="U25" s="94"/>
      <c r="V25" s="69"/>
      <c r="W25" s="14"/>
      <c r="X25" s="14"/>
      <c r="Y25" s="14"/>
      <c r="Z25" s="14"/>
      <c r="AA25" s="14"/>
      <c r="AB25" s="21"/>
      <c r="AC25" s="115"/>
      <c r="AD25" s="107"/>
      <c r="AE25" s="108"/>
      <c r="AF25" s="109"/>
      <c r="AG25" s="101" t="s">
        <v>133</v>
      </c>
      <c r="AH25" s="15" t="s">
        <v>132</v>
      </c>
    </row>
    <row r="26" spans="2:34" ht="15.75" x14ac:dyDescent="0.25">
      <c r="B26" s="73">
        <v>2021</v>
      </c>
      <c r="C26" s="76" t="s">
        <v>38</v>
      </c>
      <c r="D26" s="69" t="s">
        <v>122</v>
      </c>
      <c r="E26" s="69" t="s">
        <v>56</v>
      </c>
      <c r="F26" s="120">
        <v>44375</v>
      </c>
      <c r="G26" s="124"/>
      <c r="H26" s="45"/>
      <c r="I26" s="87" t="s">
        <v>154</v>
      </c>
      <c r="J26" s="87"/>
      <c r="K26" s="88"/>
      <c r="L26" s="81"/>
      <c r="M26" s="45"/>
      <c r="N26" s="45"/>
      <c r="O26" s="45"/>
      <c r="P26" s="45"/>
      <c r="Q26" s="60"/>
      <c r="R26" s="93"/>
      <c r="S26" s="14"/>
      <c r="T26" s="14"/>
      <c r="U26" s="94"/>
      <c r="V26" s="69"/>
      <c r="W26" s="14"/>
      <c r="X26" s="14"/>
      <c r="Y26" s="14"/>
      <c r="Z26" s="14"/>
      <c r="AA26" s="14"/>
      <c r="AB26" s="21"/>
      <c r="AC26" s="115"/>
      <c r="AD26" s="107"/>
      <c r="AE26" s="108"/>
      <c r="AF26" s="109"/>
      <c r="AG26" s="101"/>
      <c r="AH26" s="15" t="s">
        <v>156</v>
      </c>
    </row>
    <row r="27" spans="2:34" ht="15.75" x14ac:dyDescent="0.25">
      <c r="B27" s="73">
        <v>2023</v>
      </c>
      <c r="C27" s="76" t="s">
        <v>215</v>
      </c>
      <c r="D27" s="69" t="s">
        <v>27</v>
      </c>
      <c r="E27" s="69" t="s">
        <v>57</v>
      </c>
      <c r="F27" s="120">
        <v>41217</v>
      </c>
      <c r="G27" s="124"/>
      <c r="H27" s="45"/>
      <c r="I27" s="87" t="s">
        <v>154</v>
      </c>
      <c r="J27" s="87"/>
      <c r="K27" s="88"/>
      <c r="L27" s="81"/>
      <c r="M27" s="45"/>
      <c r="N27" s="45"/>
      <c r="O27" s="45"/>
      <c r="P27" s="45"/>
      <c r="Q27" s="60"/>
      <c r="R27" s="93"/>
      <c r="S27" s="14"/>
      <c r="T27" s="14"/>
      <c r="U27" s="94"/>
      <c r="V27" s="69"/>
      <c r="W27" s="14"/>
      <c r="X27" s="14"/>
      <c r="Y27" s="14"/>
      <c r="Z27" s="14"/>
      <c r="AA27" s="14"/>
      <c r="AB27" s="21"/>
      <c r="AC27" s="115"/>
      <c r="AD27" s="107"/>
      <c r="AE27" s="108"/>
      <c r="AF27" s="109"/>
      <c r="AG27" s="101"/>
      <c r="AH27" s="15"/>
    </row>
    <row r="28" spans="2:34" s="38" customFormat="1" ht="15.75" x14ac:dyDescent="0.25">
      <c r="B28" s="73">
        <v>2023</v>
      </c>
      <c r="C28" s="76" t="s">
        <v>36</v>
      </c>
      <c r="D28" s="69" t="s">
        <v>27</v>
      </c>
      <c r="E28" s="69" t="s">
        <v>57</v>
      </c>
      <c r="F28" s="120">
        <v>41217</v>
      </c>
      <c r="G28" s="124"/>
      <c r="H28" s="45"/>
      <c r="I28" s="87" t="s">
        <v>154</v>
      </c>
      <c r="J28" s="87" t="s">
        <v>154</v>
      </c>
      <c r="K28" s="88"/>
      <c r="L28" s="81"/>
      <c r="M28" s="45"/>
      <c r="N28" s="45"/>
      <c r="O28" s="45"/>
      <c r="P28" s="45"/>
      <c r="Q28" s="60"/>
      <c r="R28" s="93"/>
      <c r="S28" s="14"/>
      <c r="T28" s="14"/>
      <c r="U28" s="94"/>
      <c r="V28" s="69"/>
      <c r="W28" s="14"/>
      <c r="X28" s="14"/>
      <c r="Y28" s="14"/>
      <c r="Z28" s="14"/>
      <c r="AA28" s="14"/>
      <c r="AB28" s="21"/>
      <c r="AC28" s="115"/>
      <c r="AD28" s="107"/>
      <c r="AE28" s="108"/>
      <c r="AF28" s="109"/>
      <c r="AG28" s="101"/>
      <c r="AH28" s="15" t="s">
        <v>221</v>
      </c>
    </row>
    <row r="29" spans="2:34" ht="15.75" x14ac:dyDescent="0.25">
      <c r="B29" s="73">
        <v>2024</v>
      </c>
      <c r="C29" s="77" t="s">
        <v>162</v>
      </c>
      <c r="D29" s="70"/>
      <c r="E29" s="70" t="s">
        <v>28</v>
      </c>
      <c r="F29" s="121">
        <v>45319</v>
      </c>
      <c r="G29" s="84" t="s">
        <v>154</v>
      </c>
      <c r="H29" s="46" t="s">
        <v>154</v>
      </c>
      <c r="I29" s="87" t="s">
        <v>154</v>
      </c>
      <c r="J29" s="87" t="s">
        <v>154</v>
      </c>
      <c r="K29" s="88" t="s">
        <v>154</v>
      </c>
      <c r="L29" s="82">
        <v>16</v>
      </c>
      <c r="M29" s="46">
        <v>16</v>
      </c>
      <c r="N29" s="46">
        <v>20</v>
      </c>
      <c r="O29" s="46">
        <v>16</v>
      </c>
      <c r="P29" s="46"/>
      <c r="Q29" s="61" t="s">
        <v>199</v>
      </c>
      <c r="R29" s="95" t="s">
        <v>160</v>
      </c>
      <c r="S29" s="36" t="s">
        <v>158</v>
      </c>
      <c r="T29" s="36" t="s">
        <v>217</v>
      </c>
      <c r="U29" s="96">
        <v>45994</v>
      </c>
      <c r="V29" s="70">
        <v>397</v>
      </c>
      <c r="W29" s="36">
        <v>73</v>
      </c>
      <c r="X29" s="36">
        <v>1</v>
      </c>
      <c r="Y29" s="36">
        <v>0.5</v>
      </c>
      <c r="Z29" s="36">
        <v>1</v>
      </c>
      <c r="AA29" s="52">
        <v>18</v>
      </c>
      <c r="AB29" s="35">
        <v>0.67</v>
      </c>
      <c r="AC29" s="116">
        <f>AB29*1000000/(V29*AA29)</f>
        <v>93.758746151693259</v>
      </c>
      <c r="AD29" s="107" t="s">
        <v>154</v>
      </c>
      <c r="AE29" s="108"/>
      <c r="AF29" s="110"/>
      <c r="AG29" s="102" t="s">
        <v>141</v>
      </c>
      <c r="AH29" s="37" t="s">
        <v>159</v>
      </c>
    </row>
    <row r="30" spans="2:34" s="38" customFormat="1" ht="15.75" x14ac:dyDescent="0.25">
      <c r="B30" s="73">
        <v>2024</v>
      </c>
      <c r="C30" s="77" t="s">
        <v>163</v>
      </c>
      <c r="D30" s="70"/>
      <c r="E30" s="70" t="s">
        <v>28</v>
      </c>
      <c r="F30" s="121">
        <v>45635</v>
      </c>
      <c r="G30" s="84" t="s">
        <v>154</v>
      </c>
      <c r="H30" s="46"/>
      <c r="I30" s="87" t="s">
        <v>154</v>
      </c>
      <c r="J30" s="87" t="s">
        <v>154</v>
      </c>
      <c r="K30" s="88" t="s">
        <v>154</v>
      </c>
      <c r="L30" s="82">
        <v>16</v>
      </c>
      <c r="M30" s="46">
        <v>16</v>
      </c>
      <c r="N30" s="46">
        <v>20</v>
      </c>
      <c r="O30" s="46">
        <v>16</v>
      </c>
      <c r="P30" s="46"/>
      <c r="Q30" s="61" t="s">
        <v>199</v>
      </c>
      <c r="R30" s="95" t="s">
        <v>160</v>
      </c>
      <c r="S30" s="36" t="s">
        <v>158</v>
      </c>
      <c r="T30" s="36" t="s">
        <v>217</v>
      </c>
      <c r="U30" s="96">
        <v>45994</v>
      </c>
      <c r="V30" s="70">
        <v>632</v>
      </c>
      <c r="W30" s="36">
        <v>72</v>
      </c>
      <c r="X30" s="36">
        <v>1</v>
      </c>
      <c r="Y30" s="36">
        <v>0.5</v>
      </c>
      <c r="Z30" s="36">
        <v>1</v>
      </c>
      <c r="AA30" s="36">
        <v>17.8</v>
      </c>
      <c r="AB30" s="35">
        <v>0.67</v>
      </c>
      <c r="AC30" s="116">
        <f>AB30*1000000/(V30*AA30)</f>
        <v>59.557673161712415</v>
      </c>
      <c r="AD30" s="107" t="s">
        <v>154</v>
      </c>
      <c r="AE30" s="108"/>
      <c r="AF30" s="110"/>
      <c r="AG30" s="102" t="s">
        <v>141</v>
      </c>
      <c r="AH30" s="37" t="s">
        <v>159</v>
      </c>
    </row>
    <row r="31" spans="2:34" s="38" customFormat="1" ht="15.75" x14ac:dyDescent="0.25">
      <c r="B31" s="73">
        <v>2024</v>
      </c>
      <c r="C31" s="77" t="s">
        <v>53</v>
      </c>
      <c r="D31" s="70"/>
      <c r="E31" s="70" t="s">
        <v>28</v>
      </c>
      <c r="F31" s="121">
        <v>45635</v>
      </c>
      <c r="G31" s="84" t="s">
        <v>154</v>
      </c>
      <c r="H31" s="46"/>
      <c r="I31" s="87" t="s">
        <v>154</v>
      </c>
      <c r="J31" s="87" t="s">
        <v>154</v>
      </c>
      <c r="K31" s="88"/>
      <c r="L31" s="82" t="s">
        <v>193</v>
      </c>
      <c r="M31" s="46" t="s">
        <v>192</v>
      </c>
      <c r="N31" s="46">
        <v>32</v>
      </c>
      <c r="O31" s="46">
        <v>24</v>
      </c>
      <c r="P31" s="46"/>
      <c r="Q31" s="61" t="s">
        <v>200</v>
      </c>
      <c r="R31" s="95"/>
      <c r="S31" s="36"/>
      <c r="T31" s="36"/>
      <c r="U31" s="96"/>
      <c r="V31" s="70"/>
      <c r="W31" s="36"/>
      <c r="X31" s="36"/>
      <c r="Y31" s="36"/>
      <c r="Z31" s="36"/>
      <c r="AA31" s="36"/>
      <c r="AB31" s="35"/>
      <c r="AC31" s="116"/>
      <c r="AD31" s="107"/>
      <c r="AE31" s="108"/>
      <c r="AF31" s="110"/>
      <c r="AG31" s="102"/>
      <c r="AH31" s="127" t="s">
        <v>222</v>
      </c>
    </row>
    <row r="32" spans="2:34" s="38" customFormat="1" ht="15.75" x14ac:dyDescent="0.25">
      <c r="B32" s="73">
        <v>2025</v>
      </c>
      <c r="C32" s="76" t="s">
        <v>216</v>
      </c>
      <c r="D32" s="69"/>
      <c r="E32" s="69" t="s">
        <v>57</v>
      </c>
      <c r="F32" s="120">
        <v>45903</v>
      </c>
      <c r="G32" s="124"/>
      <c r="H32" s="45"/>
      <c r="I32" s="87" t="s">
        <v>154</v>
      </c>
      <c r="J32" s="87"/>
      <c r="K32" s="88"/>
      <c r="L32" s="81"/>
      <c r="M32" s="45"/>
      <c r="N32" s="45"/>
      <c r="O32" s="45"/>
      <c r="P32" s="45"/>
      <c r="Q32" s="60"/>
      <c r="R32" s="93"/>
      <c r="S32" s="14"/>
      <c r="T32" s="14"/>
      <c r="U32" s="94"/>
      <c r="V32" s="69"/>
      <c r="W32" s="14"/>
      <c r="X32" s="14"/>
      <c r="Y32" s="14"/>
      <c r="Z32" s="14"/>
      <c r="AA32" s="14"/>
      <c r="AB32" s="21"/>
      <c r="AC32" s="115"/>
      <c r="AD32" s="107"/>
      <c r="AE32" s="108"/>
      <c r="AF32" s="109"/>
      <c r="AG32" s="101"/>
      <c r="AH32" s="15"/>
    </row>
    <row r="33" spans="2:34" ht="16.5" thickBot="1" x14ac:dyDescent="0.3">
      <c r="B33" s="74"/>
      <c r="C33" s="79"/>
      <c r="D33" s="71"/>
      <c r="E33" s="71"/>
      <c r="F33" s="122"/>
      <c r="G33" s="125"/>
      <c r="H33" s="47"/>
      <c r="I33" s="89"/>
      <c r="J33" s="89"/>
      <c r="K33" s="90"/>
      <c r="L33" s="83"/>
      <c r="M33" s="47"/>
      <c r="N33" s="47"/>
      <c r="O33" s="47"/>
      <c r="P33" s="47"/>
      <c r="Q33" s="62"/>
      <c r="R33" s="98"/>
      <c r="S33" s="18"/>
      <c r="T33" s="18"/>
      <c r="U33" s="99"/>
      <c r="V33" s="71"/>
      <c r="W33" s="18"/>
      <c r="X33" s="18"/>
      <c r="Y33" s="18"/>
      <c r="Z33" s="18"/>
      <c r="AA33" s="18"/>
      <c r="AB33" s="22"/>
      <c r="AC33" s="118"/>
      <c r="AD33" s="111"/>
      <c r="AE33" s="112"/>
      <c r="AF33" s="113"/>
      <c r="AG33" s="103"/>
      <c r="AH33" s="19"/>
    </row>
    <row r="34" spans="2:34" s="38" customFormat="1" ht="15.75" x14ac:dyDescent="0.25">
      <c r="C34" s="63">
        <v>26</v>
      </c>
      <c r="E34" s="63">
        <f>COUNTA(E5:E33)</f>
        <v>28</v>
      </c>
      <c r="F34" s="64"/>
      <c r="G34" s="63">
        <f>COUNTIF(G5:G33,"Y")</f>
        <v>14</v>
      </c>
      <c r="H34" s="63">
        <f>COUNTIF(H5:H33,"Y")</f>
        <v>6</v>
      </c>
      <c r="I34" s="63">
        <f>COUNTIF(I5:I33,"Y")</f>
        <v>25</v>
      </c>
      <c r="J34" s="63">
        <f>COUNTIF(J5:J33,"Y")</f>
        <v>20</v>
      </c>
      <c r="K34" s="63"/>
      <c r="L34" s="63"/>
      <c r="M34" s="63"/>
      <c r="N34" s="63"/>
      <c r="O34" s="63"/>
      <c r="P34" s="63"/>
      <c r="Q34" s="63"/>
      <c r="R34" s="63">
        <f>COUNTA(R5:R33)</f>
        <v>15</v>
      </c>
      <c r="U34" s="65"/>
      <c r="AA34" s="63">
        <f>COUNTA(AA5:AA33)</f>
        <v>12</v>
      </c>
      <c r="AC34" s="63">
        <f>COUNTA(AC5:AC33)</f>
        <v>11</v>
      </c>
      <c r="AD34" s="63">
        <f>COUNTIF(AD5:AD33,"Y")</f>
        <v>10</v>
      </c>
      <c r="AE34" s="63">
        <f>COUNTIF(AE5:AE33,"Y")</f>
        <v>8</v>
      </c>
      <c r="AF34" s="63">
        <f>COUNTIF(AF5:AF33,"Y")</f>
        <v>1</v>
      </c>
      <c r="AH34" s="66" t="s">
        <v>214</v>
      </c>
    </row>
    <row r="35" spans="2:34" ht="6" customHeight="1" x14ac:dyDescent="0.25">
      <c r="C35" s="43"/>
      <c r="AA35" s="43"/>
      <c r="AC35" s="43"/>
    </row>
    <row r="36" spans="2:34" x14ac:dyDescent="0.25">
      <c r="C36" t="s">
        <v>186</v>
      </c>
      <c r="E36" t="s">
        <v>195</v>
      </c>
      <c r="R36" t="s">
        <v>187</v>
      </c>
      <c r="T36" t="s">
        <v>191</v>
      </c>
      <c r="Y36" t="s">
        <v>194</v>
      </c>
      <c r="AA36" t="s">
        <v>196</v>
      </c>
      <c r="AB36" s="42"/>
    </row>
    <row r="37" spans="2:34" x14ac:dyDescent="0.25">
      <c r="C37" t="s">
        <v>190</v>
      </c>
      <c r="E37" t="s">
        <v>197</v>
      </c>
    </row>
    <row r="38" spans="2:34" ht="15.75" x14ac:dyDescent="0.25">
      <c r="B38" s="66" t="s">
        <v>243</v>
      </c>
    </row>
    <row r="39" spans="2:34" x14ac:dyDescent="0.25">
      <c r="C39" t="s">
        <v>218</v>
      </c>
      <c r="D39" t="s">
        <v>244</v>
      </c>
    </row>
    <row r="40" spans="2:34" x14ac:dyDescent="0.25">
      <c r="C40" t="s">
        <v>1</v>
      </c>
      <c r="D40" t="s">
        <v>245</v>
      </c>
    </row>
    <row r="41" spans="2:34" x14ac:dyDescent="0.25">
      <c r="C41" t="s">
        <v>18</v>
      </c>
      <c r="D41" t="s">
        <v>246</v>
      </c>
    </row>
    <row r="42" spans="2:34" x14ac:dyDescent="0.25">
      <c r="C42" t="s">
        <v>13</v>
      </c>
      <c r="D42" t="s">
        <v>275</v>
      </c>
    </row>
    <row r="43" spans="2:34" x14ac:dyDescent="0.25">
      <c r="C43" t="s">
        <v>112</v>
      </c>
      <c r="D43" t="s">
        <v>247</v>
      </c>
    </row>
    <row r="44" spans="2:34" x14ac:dyDescent="0.25">
      <c r="C44" t="s">
        <v>34</v>
      </c>
      <c r="D44" t="s">
        <v>248</v>
      </c>
    </row>
    <row r="45" spans="2:34" x14ac:dyDescent="0.25">
      <c r="C45" t="s">
        <v>219</v>
      </c>
      <c r="D45" t="s">
        <v>249</v>
      </c>
    </row>
    <row r="46" spans="2:34" x14ac:dyDescent="0.25">
      <c r="C46" t="s">
        <v>220</v>
      </c>
      <c r="D46" t="s">
        <v>250</v>
      </c>
    </row>
    <row r="47" spans="2:34" x14ac:dyDescent="0.25">
      <c r="C47" t="s">
        <v>5</v>
      </c>
      <c r="D47" t="s">
        <v>251</v>
      </c>
    </row>
    <row r="48" spans="2:34" x14ac:dyDescent="0.25">
      <c r="C48" t="s">
        <v>6</v>
      </c>
      <c r="D48" t="s">
        <v>252</v>
      </c>
    </row>
    <row r="49" spans="3:4" x14ac:dyDescent="0.25">
      <c r="C49" t="s">
        <v>180</v>
      </c>
      <c r="D49" t="s">
        <v>253</v>
      </c>
    </row>
    <row r="50" spans="3:4" x14ac:dyDescent="0.25">
      <c r="C50" t="s">
        <v>181</v>
      </c>
      <c r="D50" t="s">
        <v>254</v>
      </c>
    </row>
    <row r="51" spans="3:4" x14ac:dyDescent="0.25">
      <c r="C51" t="s">
        <v>188</v>
      </c>
      <c r="D51" t="s">
        <v>256</v>
      </c>
    </row>
    <row r="52" spans="3:4" x14ac:dyDescent="0.25">
      <c r="C52" t="s">
        <v>189</v>
      </c>
      <c r="D52" t="s">
        <v>255</v>
      </c>
    </row>
    <row r="53" spans="3:4" x14ac:dyDescent="0.25">
      <c r="C53" t="s">
        <v>182</v>
      </c>
      <c r="D53" t="s">
        <v>257</v>
      </c>
    </row>
    <row r="54" spans="3:4" x14ac:dyDescent="0.25">
      <c r="C54" t="s">
        <v>194</v>
      </c>
      <c r="D54" t="s">
        <v>258</v>
      </c>
    </row>
    <row r="55" spans="3:4" x14ac:dyDescent="0.25">
      <c r="C55" t="s">
        <v>15</v>
      </c>
      <c r="D55" t="s">
        <v>259</v>
      </c>
    </row>
    <row r="56" spans="3:4" x14ac:dyDescent="0.25">
      <c r="C56" t="s">
        <v>14</v>
      </c>
      <c r="D56" t="s">
        <v>260</v>
      </c>
    </row>
    <row r="57" spans="3:4" x14ac:dyDescent="0.25">
      <c r="C57" t="s">
        <v>19</v>
      </c>
      <c r="D57" t="s">
        <v>261</v>
      </c>
    </row>
    <row r="58" spans="3:4" x14ac:dyDescent="0.25">
      <c r="C58" t="s">
        <v>17</v>
      </c>
      <c r="D58" t="s">
        <v>262</v>
      </c>
    </row>
    <row r="59" spans="3:4" x14ac:dyDescent="0.25">
      <c r="C59" t="s">
        <v>7</v>
      </c>
      <c r="D59" t="s">
        <v>263</v>
      </c>
    </row>
    <row r="60" spans="3:4" x14ac:dyDescent="0.25">
      <c r="C60" t="s">
        <v>8</v>
      </c>
      <c r="D60" t="s">
        <v>264</v>
      </c>
    </row>
    <row r="61" spans="3:4" x14ac:dyDescent="0.25">
      <c r="C61" t="s">
        <v>166</v>
      </c>
      <c r="D61" t="s">
        <v>265</v>
      </c>
    </row>
    <row r="62" spans="3:4" x14ac:dyDescent="0.25">
      <c r="C62" t="s">
        <v>10</v>
      </c>
      <c r="D62" t="s">
        <v>266</v>
      </c>
    </row>
    <row r="63" spans="3:4" x14ac:dyDescent="0.25">
      <c r="C63" t="s">
        <v>169</v>
      </c>
      <c r="D63" t="s">
        <v>267</v>
      </c>
    </row>
    <row r="64" spans="3:4" x14ac:dyDescent="0.25">
      <c r="C64" t="s">
        <v>161</v>
      </c>
      <c r="D64" t="s">
        <v>268</v>
      </c>
    </row>
    <row r="65" spans="3:4" x14ac:dyDescent="0.25">
      <c r="C65" t="s">
        <v>168</v>
      </c>
      <c r="D65" t="s">
        <v>269</v>
      </c>
    </row>
    <row r="66" spans="3:4" x14ac:dyDescent="0.25">
      <c r="C66" t="s">
        <v>165</v>
      </c>
      <c r="D66" t="s">
        <v>270</v>
      </c>
    </row>
    <row r="67" spans="3:4" x14ac:dyDescent="0.25">
      <c r="C67" t="s">
        <v>143</v>
      </c>
      <c r="D67" t="s">
        <v>271</v>
      </c>
    </row>
    <row r="68" spans="3:4" x14ac:dyDescent="0.25">
      <c r="C68" t="s">
        <v>167</v>
      </c>
      <c r="D68" t="s">
        <v>272</v>
      </c>
    </row>
    <row r="69" spans="3:4" x14ac:dyDescent="0.25">
      <c r="C69" t="s">
        <v>201</v>
      </c>
      <c r="D69" t="s">
        <v>273</v>
      </c>
    </row>
    <row r="70" spans="3:4" x14ac:dyDescent="0.25">
      <c r="C70" t="s">
        <v>142</v>
      </c>
      <c r="D70" t="s">
        <v>274</v>
      </c>
    </row>
    <row r="71" spans="3:4" x14ac:dyDescent="0.25">
      <c r="C7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unique projects</vt:lpstr>
      <vt:lpstr>ISA categories</vt:lpstr>
      <vt:lpstr>ISA idea history</vt:lpstr>
      <vt:lpstr>with multiple runs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2025-12-11T23:06:44Z</dcterms:modified>
</cp:coreProperties>
</file>