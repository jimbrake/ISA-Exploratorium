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4915" windowHeight="11580" activeTab="1"/>
  </bookViews>
  <sheets>
    <sheet name="instructions" sheetId="1" r:id="rId1"/>
    <sheet name="project_dir" sheetId="2" r:id="rId2"/>
    <sheet name="inst test coverage" sheetId="4" r:id="rId3"/>
  </sheets>
  <definedNames>
    <definedName name="_xlnm.Print_Area" localSheetId="0">instructions!$B$1:$T$60</definedName>
  </definedNames>
  <calcPr calcId="145621"/>
</workbook>
</file>

<file path=xl/calcChain.xml><?xml version="1.0" encoding="utf-8"?>
<calcChain xmlns="http://schemas.openxmlformats.org/spreadsheetml/2006/main">
  <c r="J27" i="2" l="1"/>
  <c r="J26" i="2"/>
  <c r="J25" i="2"/>
  <c r="H27" i="2"/>
  <c r="H26" i="2"/>
  <c r="H25" i="2"/>
  <c r="I23" i="2" l="1"/>
  <c r="J23" i="2" s="1"/>
  <c r="I22" i="2" l="1"/>
  <c r="J22" i="2" s="1"/>
  <c r="I21" i="2" l="1"/>
  <c r="J21" i="2" s="1"/>
  <c r="I20" i="2" l="1"/>
  <c r="J20" i="2" s="1"/>
  <c r="I24" i="2" l="1"/>
  <c r="J24" i="2" s="1"/>
  <c r="I14" i="2" l="1"/>
  <c r="J14" i="2" s="1"/>
  <c r="I15" i="2"/>
  <c r="J15" i="2" s="1"/>
  <c r="I13" i="2"/>
  <c r="J13" i="2" s="1"/>
  <c r="I12" i="2"/>
  <c r="J12" i="2" s="1"/>
  <c r="I11" i="2"/>
  <c r="J11" i="2" s="1"/>
  <c r="I10" i="2"/>
  <c r="J10" i="2" s="1"/>
  <c r="I17" i="2"/>
  <c r="J17" i="2" s="1"/>
  <c r="I16" i="2"/>
  <c r="J16" i="2" s="1"/>
  <c r="I9" i="2"/>
  <c r="J9" i="2" s="1"/>
  <c r="BG23" i="4" l="1"/>
  <c r="BG22" i="4"/>
  <c r="BG21" i="4"/>
  <c r="BG20" i="4"/>
  <c r="BG19" i="4"/>
  <c r="BG18" i="4"/>
  <c r="BG17" i="4"/>
  <c r="BG16" i="4"/>
  <c r="BG15" i="4"/>
  <c r="BG14" i="4"/>
  <c r="BG13" i="4"/>
  <c r="BG12" i="4"/>
  <c r="BG11" i="4"/>
  <c r="BG10" i="4"/>
  <c r="BG8" i="4"/>
  <c r="BG7" i="4"/>
  <c r="BG6" i="4"/>
  <c r="BG5" i="4"/>
  <c r="I8" i="2" l="1"/>
  <c r="J8" i="2" s="1"/>
  <c r="I19" i="2" l="1"/>
  <c r="J19" i="2" s="1"/>
  <c r="I18" i="2"/>
  <c r="J18" i="2" s="1"/>
  <c r="H7" i="4"/>
  <c r="I7" i="4" s="1"/>
  <c r="H6" i="4"/>
  <c r="I6" i="4" s="1"/>
  <c r="H5" i="4"/>
  <c r="I5" i="4" s="1"/>
  <c r="I7" i="2"/>
  <c r="J7" i="2" s="1"/>
  <c r="I5" i="2"/>
  <c r="J5" i="2" s="1"/>
  <c r="I6" i="2"/>
  <c r="J6" i="2" s="1"/>
</calcChain>
</file>

<file path=xl/sharedStrings.xml><?xml version="1.0" encoding="utf-8"?>
<sst xmlns="http://schemas.openxmlformats.org/spreadsheetml/2006/main" count="770" uniqueCount="326">
  <si>
    <t>Rois24_24uP instruction list</t>
  </si>
  <si>
    <t>Categorey</t>
  </si>
  <si>
    <t>nemonic (bold if coded)</t>
  </si>
  <si>
    <t>hex opcode</t>
  </si>
  <si>
    <t>binary opcode</t>
  </si>
  <si>
    <t>phase</t>
  </si>
  <si>
    <t># phases</t>
  </si>
  <si>
    <t>PC chg</t>
  </si>
  <si>
    <t>LUT mem in</t>
  </si>
  <si>
    <t>LUT adr</t>
  </si>
  <si>
    <t>instruction summary</t>
  </si>
  <si>
    <t>Block RAM data in</t>
  </si>
  <si>
    <t>Block RAM adr</t>
  </si>
  <si>
    <t>Blk RAM we</t>
  </si>
  <si>
    <t># test cases</t>
  </si>
  <si>
    <t>Call</t>
  </si>
  <si>
    <t>LD/ST</t>
  </si>
  <si>
    <t>ALU</t>
  </si>
  <si>
    <t>format</t>
  </si>
  <si>
    <t>LD</t>
  </si>
  <si>
    <t>ST</t>
  </si>
  <si>
    <t>ADD</t>
  </si>
  <si>
    <t>SUB</t>
  </si>
  <si>
    <t>ADC</t>
  </si>
  <si>
    <t>SBC</t>
  </si>
  <si>
    <t>AND</t>
  </si>
  <si>
    <t>ANDC</t>
  </si>
  <si>
    <t>OR</t>
  </si>
  <si>
    <t>XOR</t>
  </si>
  <si>
    <t>ADI</t>
  </si>
  <si>
    <t>LDsN</t>
  </si>
  <si>
    <t>ADCI</t>
  </si>
  <si>
    <t>STsN</t>
  </si>
  <si>
    <t>ANDI</t>
  </si>
  <si>
    <t>XORI</t>
  </si>
  <si>
    <t>CALL</t>
  </si>
  <si>
    <t>JMPCC</t>
  </si>
  <si>
    <t>BRCC</t>
  </si>
  <si>
    <t>LDI</t>
  </si>
  <si>
    <t>ORI</t>
  </si>
  <si>
    <t>DRS</t>
  </si>
  <si>
    <t>DRN</t>
  </si>
  <si>
    <t>CALLR</t>
  </si>
  <si>
    <t>R+S=&gt;PC, PC+1=&gt;D</t>
  </si>
  <si>
    <t>PC+sNN=&gt;PC, PC+1=&gt;D</t>
  </si>
  <si>
    <t>if CC true PC+sNN else PC+1 =&gt;PC</t>
  </si>
  <si>
    <t>M(R+S)=&gt;D</t>
  </si>
  <si>
    <t>D=&gt;M(R+S)</t>
  </si>
  <si>
    <t>R+S=&gt;D</t>
  </si>
  <si>
    <t>R-S=&gt;D</t>
  </si>
  <si>
    <t>R+S+carry=&gt;D</t>
  </si>
  <si>
    <t>R-S+carry=&gt;D</t>
  </si>
  <si>
    <t>R&amp;S=&gt;D</t>
  </si>
  <si>
    <t>R|S=&gt;D</t>
  </si>
  <si>
    <t>R^S=&gt;D</t>
  </si>
  <si>
    <t>R&amp;~S=&gt;D</t>
  </si>
  <si>
    <t>M(R+S)</t>
  </si>
  <si>
    <t>M(PC+sNN)</t>
  </si>
  <si>
    <t>Y</t>
  </si>
  <si>
    <t>DNN</t>
  </si>
  <si>
    <t>CRN</t>
  </si>
  <si>
    <t>CNN</t>
  </si>
  <si>
    <t>XXXXXX DDDDDD RRRRRR SSSSSS</t>
  </si>
  <si>
    <t>XXXXXX DDDDDD sNNNNN NNNNNN</t>
  </si>
  <si>
    <t>XXXXXX CCCCCC sNNNNN NNNNNN</t>
  </si>
  <si>
    <t>001000</t>
  </si>
  <si>
    <t>110011</t>
  </si>
  <si>
    <t>001001</t>
  </si>
  <si>
    <t>110000</t>
  </si>
  <si>
    <t>001010</t>
  </si>
  <si>
    <t>001011</t>
  </si>
  <si>
    <t>110001</t>
  </si>
  <si>
    <t>CALLsN</t>
  </si>
  <si>
    <t>PC+1</t>
  </si>
  <si>
    <t>D</t>
  </si>
  <si>
    <t>R+S</t>
  </si>
  <si>
    <t>R+sN</t>
  </si>
  <si>
    <t>sNN</t>
  </si>
  <si>
    <t>R-S</t>
  </si>
  <si>
    <t>R+S+cy</t>
  </si>
  <si>
    <t>R+sN+cy</t>
  </si>
  <si>
    <t>R-S+cy</t>
  </si>
  <si>
    <t>R&amp;S</t>
  </si>
  <si>
    <t>R&amp;~S</t>
  </si>
  <si>
    <t>R|S</t>
  </si>
  <si>
    <t>R^S</t>
  </si>
  <si>
    <t>PC+sNN or PC+1</t>
  </si>
  <si>
    <t>08</t>
  </si>
  <si>
    <t>33</t>
  </si>
  <si>
    <t>09</t>
  </si>
  <si>
    <t>30</t>
  </si>
  <si>
    <t>0A</t>
  </si>
  <si>
    <t>0B</t>
  </si>
  <si>
    <t>31</t>
  </si>
  <si>
    <t>20</t>
  </si>
  <si>
    <t>21</t>
  </si>
  <si>
    <t>22</t>
  </si>
  <si>
    <t>23</t>
  </si>
  <si>
    <t>24</t>
  </si>
  <si>
    <t>25</t>
  </si>
  <si>
    <t>26</t>
  </si>
  <si>
    <t>27</t>
  </si>
  <si>
    <t>CCR: carry, overflow, MSB, exp all 1s, exp all 0s, mant all 1s, mant all 0s, LSB</t>
  </si>
  <si>
    <t>comments</t>
  </si>
  <si>
    <t>next inst</t>
  </si>
  <si>
    <t>sNN=&gt;D</t>
  </si>
  <si>
    <t>M out</t>
  </si>
  <si>
    <t>no change to PC</t>
  </si>
  <si>
    <t>generate block RAM adr</t>
  </si>
  <si>
    <t>fetch next inst</t>
  </si>
  <si>
    <t>state</t>
  </si>
  <si>
    <t>N</t>
  </si>
  <si>
    <t>36</t>
  </si>
  <si>
    <t>JMPCCsN</t>
  </si>
  <si>
    <t>37</t>
  </si>
  <si>
    <t>R+S or PC+1</t>
  </si>
  <si>
    <t>if CC true R+S else PC+1 =&gt;PC</t>
  </si>
  <si>
    <t>PC limited to 16-bits, CC saved in upper 8-bits of return address</t>
  </si>
  <si>
    <t>BRAM out into D, fetch next inst</t>
  </si>
  <si>
    <t>Location 0 of register file always reads as zero (block any writes to D=0)</t>
  </si>
  <si>
    <t>IN</t>
  </si>
  <si>
    <t>OUT</t>
  </si>
  <si>
    <t>IO in</t>
  </si>
  <si>
    <t>18</t>
  </si>
  <si>
    <t>19</t>
  </si>
  <si>
    <t>NNN</t>
  </si>
  <si>
    <t>18bit imm to prefix register</t>
  </si>
  <si>
    <t xml:space="preserve">If sN and prefix reg loaded, PFX&amp;sN=&gt;sNNNN </t>
  </si>
  <si>
    <t>sign extended sNN=&gt;D</t>
  </si>
  <si>
    <t>XXXXXX sNNNNN NNNNNN NNNNNN</t>
  </si>
  <si>
    <t>sNNN=&gt;PFX</t>
  </si>
  <si>
    <t>ROIS24_24up ISE project directories and status</t>
  </si>
  <si>
    <t>directory name</t>
  </si>
  <si>
    <t>LUT count</t>
  </si>
  <si>
    <t>min clock period ns</t>
  </si>
  <si>
    <t>rois24_24up_s6_dpnoram</t>
  </si>
  <si>
    <t>MUXCY count</t>
  </si>
  <si>
    <t>LUTs as RAM</t>
  </si>
  <si>
    <t>block RAM count</t>
  </si>
  <si>
    <t>LUT RAM type</t>
  </si>
  <si>
    <t>block RAM type</t>
  </si>
  <si>
    <t>FPGA family</t>
  </si>
  <si>
    <t>process nm</t>
  </si>
  <si>
    <t>program length</t>
  </si>
  <si>
    <t>simulation</t>
  </si>
  <si>
    <t>experiment to test simple data path</t>
  </si>
  <si>
    <t>rois24_24up_s6_noram</t>
  </si>
  <si>
    <t>last modify</t>
  </si>
  <si>
    <t>Spartan 6</t>
  </si>
  <si>
    <t>QP 64x24</t>
  </si>
  <si>
    <t>SP 9K</t>
  </si>
  <si>
    <t>Fmax MHz</t>
  </si>
  <si>
    <t>runs</t>
  </si>
  <si>
    <t>rois24_24up_s6_bram</t>
  </si>
  <si>
    <t># of inst</t>
  </si>
  <si>
    <t>~</t>
  </si>
  <si>
    <t>case prog</t>
  </si>
  <si>
    <t>all inst except PFX, IN &amp; shifts; Hello World only</t>
  </si>
  <si>
    <t>MHz / LUT</t>
  </si>
  <si>
    <t>basic "Hello World": blinking LEDs</t>
  </si>
  <si>
    <t>ADDI</t>
  </si>
  <si>
    <t>PFX</t>
  </si>
  <si>
    <t>INsN</t>
  </si>
  <si>
    <t>OUTsN</t>
  </si>
  <si>
    <t>ASRI</t>
  </si>
  <si>
    <t>LSRI</t>
  </si>
  <si>
    <t>LSLI</t>
  </si>
  <si>
    <t>RORI</t>
  </si>
  <si>
    <t>MUL</t>
  </si>
  <si>
    <t>MULU</t>
  </si>
  <si>
    <t>MULUS</t>
  </si>
  <si>
    <t>totals</t>
  </si>
  <si>
    <t>Test program instruction coverage</t>
  </si>
  <si>
    <t>James C Brakefield 2016</t>
  </si>
  <si>
    <t>rois24_24up_s6_dpbram</t>
  </si>
  <si>
    <t>~Y</t>
  </si>
  <si>
    <t>all inst; experiment to test full set data paths</t>
  </si>
  <si>
    <t>rois24_24up_k7_dpbram</t>
  </si>
  <si>
    <t>SP18K</t>
  </si>
  <si>
    <t>Kintex 7</t>
  </si>
  <si>
    <t>determine best Fmax &amp; KHz/LUT</t>
  </si>
  <si>
    <t>area mode, high effort</t>
  </si>
  <si>
    <t>rois24_24up_s6_bram2</t>
  </si>
  <si>
    <t>all insts, Hello World only</t>
  </si>
  <si>
    <t>MULI</t>
  </si>
  <si>
    <t>Two read port and one write port LUT RAM; Single or dual port Block RAM</t>
  </si>
  <si>
    <t>27 instructions, four formats</t>
  </si>
  <si>
    <t>011100</t>
  </si>
  <si>
    <t>011101</t>
  </si>
  <si>
    <t>?</t>
  </si>
  <si>
    <t>rois24_24up_s6_datpth</t>
  </si>
  <si>
    <t>.83*KHz / LUT</t>
  </si>
  <si>
    <t>SP 18K</t>
  </si>
  <si>
    <t>all insts, Hello World only, sN=&gt;N</t>
  </si>
  <si>
    <t>area mode, high effort, sN=&gt;N</t>
  </si>
  <si>
    <t>all insts, Hello World only, R+S &amp; R+N inst merged</t>
  </si>
  <si>
    <t>area mode, high effort, R+S &amp; R+N inst merged</t>
  </si>
  <si>
    <t>all insts: pc+1, pc+sNN &amp;  RR+SSS adders</t>
  </si>
  <si>
    <t>rois24_24up_k7_datpth</t>
  </si>
  <si>
    <t>R+N or PC+1</t>
  </si>
  <si>
    <t>if CC true R+N else PC+1 =&gt;PC</t>
  </si>
  <si>
    <t>R+N=&gt;PC, PC+1=&gt;D</t>
  </si>
  <si>
    <t>M(R+N)</t>
  </si>
  <si>
    <t>CALLN</t>
  </si>
  <si>
    <t>JMPCCN</t>
  </si>
  <si>
    <t>LDN</t>
  </si>
  <si>
    <t>PFXN</t>
  </si>
  <si>
    <t>STN</t>
  </si>
  <si>
    <t>M(R+N)=&gt;D</t>
  </si>
  <si>
    <t>D=&gt;M(R+N)</t>
  </si>
  <si>
    <t>IO(R+N)=&gt;D</t>
  </si>
  <si>
    <t>D=&gt;IO(R+N)</t>
  </si>
  <si>
    <t>R+N=&gt;D</t>
  </si>
  <si>
    <t>R+N+carry=&gt;D</t>
  </si>
  <si>
    <t>R&amp;N=&gt;D</t>
  </si>
  <si>
    <t>R|N=&gt;D</t>
  </si>
  <si>
    <t>R^N=&gt;D</t>
  </si>
  <si>
    <t>SUBI</t>
  </si>
  <si>
    <t>110010</t>
  </si>
  <si>
    <t>SBCI</t>
  </si>
  <si>
    <t>R-N=&gt;D</t>
  </si>
  <si>
    <t>R-N+carry=&gt;D</t>
  </si>
  <si>
    <t>ANDCI</t>
  </si>
  <si>
    <t>110100</t>
  </si>
  <si>
    <t>110110</t>
  </si>
  <si>
    <t>110111</t>
  </si>
  <si>
    <t>R&amp;N</t>
  </si>
  <si>
    <t>R&amp;~N</t>
  </si>
  <si>
    <t>R|N</t>
  </si>
  <si>
    <t>R^N</t>
  </si>
  <si>
    <t>110101</t>
  </si>
  <si>
    <t>000111</t>
  </si>
  <si>
    <t>32</t>
  </si>
  <si>
    <t>34</t>
  </si>
  <si>
    <t>35</t>
  </si>
  <si>
    <t>07</t>
  </si>
  <si>
    <t>1A</t>
  </si>
  <si>
    <t>011010</t>
  </si>
  <si>
    <t>000100</t>
  </si>
  <si>
    <t>04</t>
  </si>
  <si>
    <t>05</t>
  </si>
  <si>
    <t>000101</t>
  </si>
  <si>
    <t>011000</t>
  </si>
  <si>
    <t>06</t>
  </si>
  <si>
    <t>000110</t>
  </si>
  <si>
    <t>011001</t>
  </si>
  <si>
    <t>1C</t>
  </si>
  <si>
    <t>1D</t>
  </si>
  <si>
    <t>1B</t>
  </si>
  <si>
    <t>R+N</t>
  </si>
  <si>
    <t>all 30 inst coded, inferred data path</t>
  </si>
  <si>
    <t>XXXXXX CCCCCC RRRRRR NNNNNN</t>
  </si>
  <si>
    <t>XXXXXX DDDDDD RRRRRR NNNNNN</t>
  </si>
  <si>
    <t>Optional ALU</t>
  </si>
  <si>
    <t>101000</t>
  </si>
  <si>
    <t>111000</t>
  </si>
  <si>
    <t>101001</t>
  </si>
  <si>
    <t>111001</t>
  </si>
  <si>
    <t>101010</t>
  </si>
  <si>
    <t>111010</t>
  </si>
  <si>
    <t>101011</t>
  </si>
  <si>
    <t>111011</t>
  </si>
  <si>
    <t>101100</t>
  </si>
  <si>
    <t>111100</t>
  </si>
  <si>
    <t>101101</t>
  </si>
  <si>
    <t>111101</t>
  </si>
  <si>
    <t>101110</t>
  </si>
  <si>
    <t>111110</t>
  </si>
  <si>
    <t>101111</t>
  </si>
  <si>
    <t>111111</t>
  </si>
  <si>
    <t>MULUI</t>
  </si>
  <si>
    <t>MULUSI</t>
  </si>
  <si>
    <t>DIV</t>
  </si>
  <si>
    <t>DIVI</t>
  </si>
  <si>
    <t>FADD</t>
  </si>
  <si>
    <t>FADDI</t>
  </si>
  <si>
    <t>FSUB</t>
  </si>
  <si>
    <t>FSUBI</t>
  </si>
  <si>
    <t>FMUL</t>
  </si>
  <si>
    <t>FMULI</t>
  </si>
  <si>
    <t>FDIV</t>
  </si>
  <si>
    <t>FDIVI</t>
  </si>
  <si>
    <t>R*S=&gt;D</t>
  </si>
  <si>
    <t>R*N=&gt;D</t>
  </si>
  <si>
    <t>R*S&gt;&gt;24=&gt;D</t>
  </si>
  <si>
    <t>R*N&gt;&gt;24=&gt;D</t>
  </si>
  <si>
    <t>floating R+S=&gt;D</t>
  </si>
  <si>
    <t>floating R+N=&gt;D</t>
  </si>
  <si>
    <t>floating R-S=&gt;D</t>
  </si>
  <si>
    <t>floating R-N=&gt;D</t>
  </si>
  <si>
    <t>floating R*S=&gt;D</t>
  </si>
  <si>
    <t>floating R*N=&gt;D</t>
  </si>
  <si>
    <t>start floating R/S=&gt;D</t>
  </si>
  <si>
    <t>start floating R/N=&gt;D</t>
  </si>
  <si>
    <t>signed R*S&gt;&gt;24=&gt;D</t>
  </si>
  <si>
    <t>signed R*N&gt;&gt;24=&gt;D</t>
  </si>
  <si>
    <t>start D.R/S</t>
  </si>
  <si>
    <t>start D.R/N</t>
  </si>
  <si>
    <t>28</t>
  </si>
  <si>
    <t>38</t>
  </si>
  <si>
    <t>29</t>
  </si>
  <si>
    <t>39</t>
  </si>
  <si>
    <t>2A</t>
  </si>
  <si>
    <t>3A</t>
  </si>
  <si>
    <t>2B</t>
  </si>
  <si>
    <t>3B</t>
  </si>
  <si>
    <t>2C</t>
  </si>
  <si>
    <t>3C</t>
  </si>
  <si>
    <t>2D</t>
  </si>
  <si>
    <t>3D</t>
  </si>
  <si>
    <t>2E</t>
  </si>
  <si>
    <t>3E</t>
  </si>
  <si>
    <t>2F</t>
  </si>
  <si>
    <t>3F</t>
  </si>
  <si>
    <t>all insts, all condition codes</t>
  </si>
  <si>
    <t>all insts, all condition codes, blinking LEDs runs</t>
  </si>
  <si>
    <t>all insts, all CC except BRA</t>
  </si>
  <si>
    <t>X</t>
  </si>
  <si>
    <t>ALL</t>
  </si>
  <si>
    <t>halt immediately if wrong answer</t>
  </si>
  <si>
    <t>rois24_24up_k7_datpthV</t>
  </si>
  <si>
    <t>tests all condition codes, Vivado</t>
  </si>
  <si>
    <t>tests all condition codes, ISE</t>
  </si>
  <si>
    <t>tests all condition codes, ISE, runs</t>
  </si>
  <si>
    <t>simulation code adds LUTs</t>
  </si>
  <si>
    <t>with simulation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</si>
</sst>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/>
      <bottom/>
      <diagonal/>
    </border>
  </borders>
  <cellStyleXfs count="1">
    <xf numFmtId="0" fontId="0" fillId="0" borderId="0"/>
  </cellStyleXfs>
  <cellXfs count="134">
    <xf numFmtId="0" fontId="0" fillId="0" borderId="0" xfId="0"/>
    <xf numFmtId="49" fontId="1" fillId="0" borderId="3" xfId="0" applyNumberFormat="1" applyFont="1" applyBorder="1" applyAlignment="1">
      <alignment horizontal="center" vertical="center" wrapText="1"/>
    </xf>
    <xf numFmtId="0" fontId="1" fillId="0" borderId="0" xfId="0" applyFont="1"/>
    <xf numFmtId="0" fontId="3" fillId="0" borderId="0" xfId="0" applyFont="1"/>
    <xf numFmtId="0" fontId="2" fillId="0" borderId="0" xfId="0" applyFont="1"/>
    <xf numFmtId="0" fontId="1" fillId="0" borderId="3" xfId="0" applyNumberFormat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textRotation="180"/>
    </xf>
    <xf numFmtId="0" fontId="5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180"/>
    </xf>
    <xf numFmtId="49" fontId="1" fillId="0" borderId="2" xfId="0" applyNumberFormat="1" applyFont="1" applyBorder="1" applyAlignment="1">
      <alignment horizontal="center" vertical="center" textRotation="180" wrapText="1"/>
    </xf>
    <xf numFmtId="49" fontId="1" fillId="0" borderId="3" xfId="0" applyNumberFormat="1" applyFont="1" applyBorder="1" applyAlignment="1">
      <alignment horizontal="center" vertical="center" textRotation="180" wrapText="1"/>
    </xf>
    <xf numFmtId="49" fontId="1" fillId="0" borderId="3" xfId="0" applyNumberFormat="1" applyFont="1" applyFill="1" applyBorder="1" applyAlignment="1">
      <alignment horizontal="center" vertical="center" textRotation="180" wrapText="1"/>
    </xf>
    <xf numFmtId="0" fontId="0" fillId="0" borderId="8" xfId="0" applyBorder="1"/>
    <xf numFmtId="0" fontId="0" fillId="0" borderId="9" xfId="0" applyBorder="1"/>
    <xf numFmtId="49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49" fontId="0" fillId="0" borderId="12" xfId="0" applyNumberFormat="1" applyBorder="1" applyAlignment="1">
      <alignment horizontal="right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49" fontId="0" fillId="0" borderId="15" xfId="0" applyNumberFormat="1" applyBorder="1" applyAlignment="1">
      <alignment horizontal="righ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8" xfId="0" applyBorder="1"/>
    <xf numFmtId="49" fontId="0" fillId="0" borderId="18" xfId="0" applyNumberFormat="1" applyBorder="1" applyAlignment="1">
      <alignment horizontal="right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/>
    <xf numFmtId="0" fontId="0" fillId="0" borderId="21" xfId="0" applyBorder="1"/>
    <xf numFmtId="49" fontId="0" fillId="0" borderId="21" xfId="0" applyNumberFormat="1" applyBorder="1" applyAlignment="1">
      <alignment horizontal="right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1" fillId="0" borderId="12" xfId="0" applyFont="1" applyBorder="1"/>
    <xf numFmtId="0" fontId="1" fillId="0" borderId="15" xfId="0" applyFont="1" applyBorder="1"/>
    <xf numFmtId="0" fontId="1" fillId="0" borderId="11" xfId="0" applyFont="1" applyBorder="1"/>
    <xf numFmtId="49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/>
    <xf numFmtId="49" fontId="1" fillId="0" borderId="15" xfId="0" applyNumberFormat="1" applyFont="1" applyBorder="1" applyAlignment="1">
      <alignment horizontal="right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0" xfId="0" applyFont="1"/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/>
    <xf numFmtId="164" fontId="1" fillId="0" borderId="3" xfId="0" applyNumberFormat="1" applyFont="1" applyBorder="1" applyAlignment="1">
      <alignment horizontal="center" vertical="center" wrapText="1"/>
    </xf>
    <xf numFmtId="2" fontId="1" fillId="0" borderId="3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164" fontId="0" fillId="0" borderId="9" xfId="0" applyNumberFormat="1" applyBorder="1"/>
    <xf numFmtId="2" fontId="0" fillId="0" borderId="9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left"/>
    </xf>
    <xf numFmtId="164" fontId="0" fillId="0" borderId="12" xfId="0" applyNumberFormat="1" applyBorder="1"/>
    <xf numFmtId="2" fontId="0" fillId="0" borderId="12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164" fontId="0" fillId="0" borderId="15" xfId="0" applyNumberFormat="1" applyBorder="1"/>
    <xf numFmtId="2" fontId="0" fillId="0" borderId="15" xfId="0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0" fontId="0" fillId="0" borderId="16" xfId="0" applyBorder="1" applyAlignment="1">
      <alignment horizontal="left"/>
    </xf>
    <xf numFmtId="0" fontId="0" fillId="0" borderId="23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25" xfId="0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left"/>
    </xf>
    <xf numFmtId="1" fontId="0" fillId="0" borderId="12" xfId="0" applyNumberFormat="1" applyBorder="1" applyAlignment="1">
      <alignment horizontal="right"/>
    </xf>
    <xf numFmtId="1" fontId="0" fillId="0" borderId="15" xfId="0" applyNumberFormat="1" applyBorder="1" applyAlignment="1">
      <alignment horizontal="right"/>
    </xf>
    <xf numFmtId="2" fontId="0" fillId="0" borderId="12" xfId="0" applyNumberFormat="1" applyBorder="1" applyAlignment="1">
      <alignment horizontal="right"/>
    </xf>
    <xf numFmtId="0" fontId="0" fillId="0" borderId="12" xfId="0" applyBorder="1" applyAlignment="1">
      <alignment horizontal="right"/>
    </xf>
    <xf numFmtId="2" fontId="0" fillId="0" borderId="15" xfId="0" applyNumberFormat="1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29" xfId="0" applyFont="1" applyBorder="1" applyAlignment="1">
      <alignment horizontal="center" vertical="center" wrapText="1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1" fontId="1" fillId="0" borderId="12" xfId="0" applyNumberFormat="1" applyFont="1" applyBorder="1" applyAlignment="1">
      <alignment horizontal="right"/>
    </xf>
    <xf numFmtId="0" fontId="1" fillId="0" borderId="8" xfId="0" applyFont="1" applyBorder="1"/>
    <xf numFmtId="164" fontId="1" fillId="0" borderId="9" xfId="0" applyNumberFormat="1" applyFont="1" applyBorder="1"/>
    <xf numFmtId="0" fontId="1" fillId="0" borderId="9" xfId="0" applyFont="1" applyBorder="1" applyAlignment="1">
      <alignment horizontal="center"/>
    </xf>
    <xf numFmtId="2" fontId="1" fillId="0" borderId="9" xfId="0" applyNumberFormat="1" applyFont="1" applyBorder="1" applyAlignment="1">
      <alignment horizontal="right"/>
    </xf>
    <xf numFmtId="1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1" fillId="0" borderId="10" xfId="0" applyFont="1" applyBorder="1" applyAlignment="1">
      <alignment horizontal="left"/>
    </xf>
    <xf numFmtId="0" fontId="0" fillId="0" borderId="11" xfId="0" applyFont="1" applyBorder="1"/>
    <xf numFmtId="164" fontId="0" fillId="0" borderId="12" xfId="0" applyNumberFormat="1" applyFont="1" applyBorder="1"/>
    <xf numFmtId="0" fontId="0" fillId="0" borderId="12" xfId="0" applyFont="1" applyBorder="1" applyAlignment="1">
      <alignment horizontal="center"/>
    </xf>
    <xf numFmtId="2" fontId="0" fillId="0" borderId="12" xfId="0" applyNumberFormat="1" applyFont="1" applyBorder="1" applyAlignment="1">
      <alignment horizontal="right"/>
    </xf>
    <xf numFmtId="1" fontId="0" fillId="0" borderId="12" xfId="0" applyNumberFormat="1" applyFont="1" applyBorder="1" applyAlignment="1">
      <alignment horizontal="right"/>
    </xf>
    <xf numFmtId="0" fontId="0" fillId="0" borderId="12" xfId="0" applyFont="1" applyBorder="1" applyAlignment="1">
      <alignment horizontal="right"/>
    </xf>
    <xf numFmtId="0" fontId="0" fillId="0" borderId="13" xfId="0" applyFont="1" applyBorder="1" applyAlignment="1">
      <alignment horizontal="left"/>
    </xf>
    <xf numFmtId="0" fontId="0" fillId="0" borderId="12" xfId="0" applyFont="1" applyBorder="1"/>
    <xf numFmtId="49" fontId="0" fillId="0" borderId="12" xfId="0" applyNumberFormat="1" applyFont="1" applyBorder="1" applyAlignment="1">
      <alignment horizontal="right"/>
    </xf>
    <xf numFmtId="0" fontId="0" fillId="0" borderId="13" xfId="0" applyFont="1" applyBorder="1" applyAlignment="1">
      <alignment horizontal="center"/>
    </xf>
    <xf numFmtId="0" fontId="4" fillId="0" borderId="5" xfId="0" applyFont="1" applyBorder="1" applyAlignment="1">
      <alignment horizontal="center" vertical="center" textRotation="180"/>
    </xf>
    <xf numFmtId="0" fontId="4" fillId="0" borderId="6" xfId="0" applyFont="1" applyBorder="1" applyAlignment="1">
      <alignment horizontal="center" vertical="center" textRotation="180"/>
    </xf>
    <xf numFmtId="0" fontId="0" fillId="0" borderId="6" xfId="0" applyBorder="1" applyAlignment="1">
      <alignment horizontal="center" vertical="center" textRotation="180"/>
    </xf>
    <xf numFmtId="0" fontId="0" fillId="0" borderId="7" xfId="0" applyBorder="1" applyAlignment="1">
      <alignment horizontal="center" vertical="center" textRotation="180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164" fontId="1" fillId="0" borderId="18" xfId="0" applyNumberFormat="1" applyFont="1" applyBorder="1"/>
    <xf numFmtId="0" fontId="1" fillId="0" borderId="18" xfId="0" applyFont="1" applyBorder="1" applyAlignment="1">
      <alignment horizontal="center"/>
    </xf>
    <xf numFmtId="2" fontId="1" fillId="0" borderId="18" xfId="0" applyNumberFormat="1" applyFont="1" applyBorder="1" applyAlignment="1">
      <alignment horizontal="right"/>
    </xf>
    <xf numFmtId="0" fontId="1" fillId="0" borderId="18" xfId="0" applyFont="1" applyBorder="1" applyAlignment="1">
      <alignment horizontal="right"/>
    </xf>
    <xf numFmtId="0" fontId="1" fillId="0" borderId="19" xfId="0" applyFont="1" applyBorder="1" applyAlignment="1">
      <alignment horizontal="left"/>
    </xf>
    <xf numFmtId="0" fontId="1" fillId="0" borderId="18" xfId="0" applyFont="1" applyBorder="1"/>
    <xf numFmtId="1" fontId="1" fillId="0" borderId="18" xfId="0" applyNumberFormat="1" applyFont="1" applyBorder="1"/>
    <xf numFmtId="164" fontId="0" fillId="0" borderId="18" xfId="0" applyNumberFormat="1" applyFont="1" applyBorder="1"/>
    <xf numFmtId="0" fontId="0" fillId="0" borderId="18" xfId="0" applyFont="1" applyBorder="1" applyAlignment="1">
      <alignment horizontal="center"/>
    </xf>
    <xf numFmtId="2" fontId="0" fillId="0" borderId="18" xfId="0" applyNumberFormat="1" applyFont="1" applyBorder="1" applyAlignment="1">
      <alignment horizontal="right"/>
    </xf>
    <xf numFmtId="1" fontId="0" fillId="0" borderId="18" xfId="0" applyNumberFormat="1" applyFont="1" applyBorder="1"/>
    <xf numFmtId="0" fontId="0" fillId="0" borderId="18" xfId="0" applyFont="1" applyBorder="1"/>
    <xf numFmtId="0" fontId="0" fillId="0" borderId="18" xfId="0" applyFont="1" applyBorder="1" applyAlignment="1">
      <alignment horizontal="right"/>
    </xf>
    <xf numFmtId="0" fontId="0" fillId="0" borderId="19" xfId="0" applyFont="1" applyBorder="1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3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T61"/>
  <sheetViews>
    <sheetView topLeftCell="A3" zoomScaleNormal="100" workbookViewId="0">
      <pane ySplit="1" topLeftCell="A10" activePane="bottomLeft" state="frozenSplit"/>
      <selection pane="bottomLeft" activeCell="O71" sqref="O71"/>
    </sheetView>
  </sheetViews>
  <sheetFormatPr defaultRowHeight="15" x14ac:dyDescent="0.25"/>
  <cols>
    <col min="1" max="1" width="2.140625" customWidth="1"/>
    <col min="3" max="3" width="6.42578125" customWidth="1"/>
    <col min="4" max="4" width="8.140625" customWidth="1"/>
    <col min="5" max="5" width="4.140625" customWidth="1"/>
    <col min="6" max="6" width="7" customWidth="1"/>
    <col min="7" max="7" width="3.28515625" customWidth="1"/>
    <col min="8" max="8" width="5.42578125" customWidth="1"/>
    <col min="9" max="9" width="3" customWidth="1"/>
    <col min="10" max="10" width="14.7109375" customWidth="1"/>
    <col min="11" max="11" width="4" customWidth="1"/>
    <col min="12" max="12" width="11" customWidth="1"/>
    <col min="13" max="13" width="5" customWidth="1"/>
    <col min="14" max="14" width="29.85546875" customWidth="1"/>
    <col min="15" max="15" width="5.85546875" customWidth="1"/>
    <col min="16" max="16" width="5.42578125" customWidth="1"/>
    <col min="17" max="17" width="3.5703125" customWidth="1"/>
    <col min="18" max="18" width="1.7109375" customWidth="1"/>
    <col min="19" max="19" width="6.140625" customWidth="1"/>
    <col min="20" max="20" width="22.42578125" customWidth="1"/>
  </cols>
  <sheetData>
    <row r="1" spans="2:20" ht="18.75" x14ac:dyDescent="0.3">
      <c r="B1" s="3" t="s">
        <v>0</v>
      </c>
      <c r="N1" s="4" t="s">
        <v>173</v>
      </c>
    </row>
    <row r="2" spans="2:20" ht="15.75" thickBot="1" x14ac:dyDescent="0.3">
      <c r="B2" t="s">
        <v>185</v>
      </c>
      <c r="N2" t="s">
        <v>186</v>
      </c>
    </row>
    <row r="3" spans="2:20" ht="72.75" thickBot="1" x14ac:dyDescent="0.3">
      <c r="B3" s="14" t="s">
        <v>1</v>
      </c>
      <c r="C3" s="15" t="s">
        <v>18</v>
      </c>
      <c r="D3" s="1" t="s">
        <v>2</v>
      </c>
      <c r="E3" s="16" t="s">
        <v>3</v>
      </c>
      <c r="F3" s="16" t="s">
        <v>4</v>
      </c>
      <c r="G3" s="17" t="s">
        <v>5</v>
      </c>
      <c r="H3" s="17" t="s">
        <v>110</v>
      </c>
      <c r="I3" s="17" t="s">
        <v>6</v>
      </c>
      <c r="J3" s="5" t="s">
        <v>104</v>
      </c>
      <c r="K3" s="5" t="s">
        <v>7</v>
      </c>
      <c r="L3" s="5" t="s">
        <v>8</v>
      </c>
      <c r="M3" s="5" t="s">
        <v>9</v>
      </c>
      <c r="N3" s="6" t="s">
        <v>10</v>
      </c>
      <c r="O3" s="7" t="s">
        <v>11</v>
      </c>
      <c r="P3" s="8" t="s">
        <v>12</v>
      </c>
      <c r="Q3" s="9" t="s">
        <v>13</v>
      </c>
      <c r="S3" s="12" t="s">
        <v>14</v>
      </c>
      <c r="T3" s="13" t="s">
        <v>103</v>
      </c>
    </row>
    <row r="4" spans="2:20" ht="6.75" customHeight="1" thickBot="1" x14ac:dyDescent="0.3"/>
    <row r="5" spans="2:20" x14ac:dyDescent="0.25">
      <c r="B5" s="109" t="s">
        <v>15</v>
      </c>
      <c r="C5" s="18" t="s">
        <v>40</v>
      </c>
      <c r="D5" s="19" t="s">
        <v>35</v>
      </c>
      <c r="E5" s="20" t="s">
        <v>91</v>
      </c>
      <c r="F5" s="20" t="s">
        <v>69</v>
      </c>
      <c r="G5" s="19"/>
      <c r="H5" s="19" t="s">
        <v>111</v>
      </c>
      <c r="I5" s="19"/>
      <c r="J5" s="19" t="s">
        <v>56</v>
      </c>
      <c r="K5" s="21" t="s">
        <v>58</v>
      </c>
      <c r="L5" s="19" t="s">
        <v>73</v>
      </c>
      <c r="M5" s="21" t="s">
        <v>74</v>
      </c>
      <c r="N5" s="19" t="s">
        <v>43</v>
      </c>
      <c r="O5" s="19"/>
      <c r="P5" s="19"/>
      <c r="Q5" s="22"/>
    </row>
    <row r="6" spans="2:20" s="2" customFormat="1" x14ac:dyDescent="0.25">
      <c r="B6" s="110"/>
      <c r="C6" s="45" t="s">
        <v>41</v>
      </c>
      <c r="D6" s="43" t="s">
        <v>203</v>
      </c>
      <c r="E6" s="46" t="s">
        <v>236</v>
      </c>
      <c r="F6" s="46" t="s">
        <v>237</v>
      </c>
      <c r="G6" s="43"/>
      <c r="H6" s="43" t="s">
        <v>111</v>
      </c>
      <c r="I6" s="43"/>
      <c r="J6" s="43" t="s">
        <v>202</v>
      </c>
      <c r="K6" s="47" t="s">
        <v>58</v>
      </c>
      <c r="L6" s="43" t="s">
        <v>73</v>
      </c>
      <c r="M6" s="47" t="s">
        <v>74</v>
      </c>
      <c r="N6" s="43" t="s">
        <v>201</v>
      </c>
      <c r="O6" s="43"/>
      <c r="P6" s="43"/>
      <c r="Q6" s="48"/>
    </row>
    <row r="7" spans="2:20" x14ac:dyDescent="0.25">
      <c r="B7" s="110"/>
      <c r="C7" s="23" t="s">
        <v>59</v>
      </c>
      <c r="D7" s="24" t="s">
        <v>42</v>
      </c>
      <c r="E7" s="25" t="s">
        <v>239</v>
      </c>
      <c r="F7" s="25" t="s">
        <v>238</v>
      </c>
      <c r="G7" s="24"/>
      <c r="H7" s="24" t="s">
        <v>111</v>
      </c>
      <c r="I7" s="24"/>
      <c r="J7" s="24" t="s">
        <v>57</v>
      </c>
      <c r="K7" s="26" t="s">
        <v>58</v>
      </c>
      <c r="L7" s="24" t="s">
        <v>73</v>
      </c>
      <c r="M7" s="26" t="s">
        <v>74</v>
      </c>
      <c r="N7" s="24" t="s">
        <v>44</v>
      </c>
      <c r="O7" s="24"/>
      <c r="P7" s="24"/>
      <c r="Q7" s="27"/>
    </row>
    <row r="8" spans="2:20" x14ac:dyDescent="0.25">
      <c r="B8" s="110"/>
      <c r="C8" s="23" t="s">
        <v>60</v>
      </c>
      <c r="D8" s="24" t="s">
        <v>36</v>
      </c>
      <c r="E8" s="25" t="s">
        <v>92</v>
      </c>
      <c r="F8" s="25" t="s">
        <v>70</v>
      </c>
      <c r="G8" s="24"/>
      <c r="H8" s="24" t="s">
        <v>111</v>
      </c>
      <c r="I8" s="24"/>
      <c r="J8" s="24" t="s">
        <v>115</v>
      </c>
      <c r="K8" s="26" t="s">
        <v>58</v>
      </c>
      <c r="L8" s="24"/>
      <c r="M8" s="26"/>
      <c r="N8" s="24" t="s">
        <v>116</v>
      </c>
      <c r="O8" s="24"/>
      <c r="P8" s="24"/>
      <c r="Q8" s="27"/>
    </row>
    <row r="9" spans="2:20" s="53" customFormat="1" x14ac:dyDescent="0.25">
      <c r="B9" s="111"/>
      <c r="C9" s="99" t="s">
        <v>60</v>
      </c>
      <c r="D9" s="106" t="s">
        <v>204</v>
      </c>
      <c r="E9" s="107" t="s">
        <v>248</v>
      </c>
      <c r="F9" s="107" t="s">
        <v>188</v>
      </c>
      <c r="G9" s="106"/>
      <c r="H9" s="106" t="s">
        <v>111</v>
      </c>
      <c r="I9" s="106"/>
      <c r="J9" s="106" t="s">
        <v>199</v>
      </c>
      <c r="K9" s="101" t="s">
        <v>58</v>
      </c>
      <c r="L9" s="106"/>
      <c r="M9" s="101"/>
      <c r="N9" s="106" t="s">
        <v>200</v>
      </c>
      <c r="O9" s="106"/>
      <c r="P9" s="106"/>
      <c r="Q9" s="108"/>
    </row>
    <row r="10" spans="2:20" ht="15.75" thickBot="1" x14ac:dyDescent="0.3">
      <c r="B10" s="111"/>
      <c r="C10" s="33" t="s">
        <v>61</v>
      </c>
      <c r="D10" s="34" t="s">
        <v>37</v>
      </c>
      <c r="E10" s="35" t="s">
        <v>240</v>
      </c>
      <c r="F10" s="35" t="s">
        <v>241</v>
      </c>
      <c r="G10" s="34"/>
      <c r="H10" s="34" t="s">
        <v>111</v>
      </c>
      <c r="I10" s="34"/>
      <c r="J10" s="34" t="s">
        <v>86</v>
      </c>
      <c r="K10" s="36" t="s">
        <v>58</v>
      </c>
      <c r="L10" s="34"/>
      <c r="M10" s="36"/>
      <c r="N10" s="34" t="s">
        <v>45</v>
      </c>
      <c r="O10" s="34"/>
      <c r="P10" s="34"/>
      <c r="Q10" s="37"/>
    </row>
    <row r="11" spans="2:20" x14ac:dyDescent="0.25">
      <c r="B11" s="109" t="s">
        <v>16</v>
      </c>
      <c r="C11" s="18" t="s">
        <v>40</v>
      </c>
      <c r="D11" s="19" t="s">
        <v>19</v>
      </c>
      <c r="E11" s="20" t="s">
        <v>87</v>
      </c>
      <c r="F11" s="20" t="s">
        <v>65</v>
      </c>
      <c r="G11" s="19"/>
      <c r="H11" s="19"/>
      <c r="I11" s="19">
        <v>2</v>
      </c>
      <c r="J11" s="19"/>
      <c r="K11" s="21"/>
      <c r="L11" s="19" t="s">
        <v>106</v>
      </c>
      <c r="M11" s="21" t="s">
        <v>74</v>
      </c>
      <c r="N11" s="19" t="s">
        <v>46</v>
      </c>
      <c r="O11" s="19"/>
      <c r="P11" s="19"/>
      <c r="Q11" s="22"/>
    </row>
    <row r="12" spans="2:20" x14ac:dyDescent="0.25">
      <c r="B12" s="111"/>
      <c r="C12" s="23"/>
      <c r="D12" s="24" t="s">
        <v>19</v>
      </c>
      <c r="E12" s="25" t="s">
        <v>87</v>
      </c>
      <c r="F12" s="25"/>
      <c r="G12" s="24">
        <v>1</v>
      </c>
      <c r="H12" s="24" t="s">
        <v>111</v>
      </c>
      <c r="I12" s="24"/>
      <c r="J12" s="24" t="s">
        <v>107</v>
      </c>
      <c r="K12" s="26"/>
      <c r="L12" s="24"/>
      <c r="M12" s="26"/>
      <c r="N12" s="24"/>
      <c r="O12" s="24"/>
      <c r="P12" s="24" t="s">
        <v>75</v>
      </c>
      <c r="Q12" s="27"/>
      <c r="T12" t="s">
        <v>108</v>
      </c>
    </row>
    <row r="13" spans="2:20" x14ac:dyDescent="0.25">
      <c r="B13" s="111"/>
      <c r="C13" s="23"/>
      <c r="D13" s="24" t="s">
        <v>19</v>
      </c>
      <c r="E13" s="25" t="s">
        <v>87</v>
      </c>
      <c r="F13" s="25"/>
      <c r="G13" s="24">
        <v>2</v>
      </c>
      <c r="H13" s="24" t="s">
        <v>19</v>
      </c>
      <c r="I13" s="24"/>
      <c r="J13" s="24" t="s">
        <v>73</v>
      </c>
      <c r="K13" s="26"/>
      <c r="L13" s="24" t="s">
        <v>106</v>
      </c>
      <c r="M13" s="26" t="s">
        <v>74</v>
      </c>
      <c r="N13" s="24"/>
      <c r="O13" s="24"/>
      <c r="P13" s="24" t="s">
        <v>73</v>
      </c>
      <c r="Q13" s="27"/>
      <c r="T13" t="s">
        <v>118</v>
      </c>
    </row>
    <row r="14" spans="2:20" x14ac:dyDescent="0.25">
      <c r="B14" s="111"/>
      <c r="C14" s="23" t="s">
        <v>41</v>
      </c>
      <c r="D14" s="24" t="s">
        <v>205</v>
      </c>
      <c r="E14" s="25" t="s">
        <v>123</v>
      </c>
      <c r="F14" s="25" t="s">
        <v>242</v>
      </c>
      <c r="G14" s="24"/>
      <c r="H14" s="24" t="s">
        <v>111</v>
      </c>
      <c r="I14" s="24">
        <v>2</v>
      </c>
      <c r="J14" s="24" t="s">
        <v>73</v>
      </c>
      <c r="K14" s="26"/>
      <c r="L14" s="24" t="s">
        <v>106</v>
      </c>
      <c r="M14" s="26" t="s">
        <v>74</v>
      </c>
      <c r="N14" s="24" t="s">
        <v>208</v>
      </c>
      <c r="O14" s="24"/>
      <c r="P14" s="24" t="s">
        <v>249</v>
      </c>
      <c r="Q14" s="27"/>
    </row>
    <row r="15" spans="2:20" x14ac:dyDescent="0.25">
      <c r="B15" s="111"/>
      <c r="C15" s="23" t="s">
        <v>59</v>
      </c>
      <c r="D15" s="24" t="s">
        <v>38</v>
      </c>
      <c r="E15" s="25" t="s">
        <v>243</v>
      </c>
      <c r="F15" s="25" t="s">
        <v>244</v>
      </c>
      <c r="G15" s="24"/>
      <c r="H15" s="24" t="s">
        <v>111</v>
      </c>
      <c r="I15" s="24"/>
      <c r="J15" s="24" t="s">
        <v>73</v>
      </c>
      <c r="K15" s="26"/>
      <c r="L15" s="24" t="s">
        <v>77</v>
      </c>
      <c r="M15" s="26" t="s">
        <v>74</v>
      </c>
      <c r="N15" s="24" t="s">
        <v>105</v>
      </c>
      <c r="O15" s="24"/>
      <c r="P15" s="24"/>
      <c r="Q15" s="27"/>
      <c r="T15" t="s">
        <v>128</v>
      </c>
    </row>
    <row r="16" spans="2:20" x14ac:dyDescent="0.25">
      <c r="B16" s="111"/>
      <c r="C16" s="23" t="s">
        <v>125</v>
      </c>
      <c r="D16" s="24" t="s">
        <v>206</v>
      </c>
      <c r="E16" s="25" t="s">
        <v>235</v>
      </c>
      <c r="F16" s="25" t="s">
        <v>231</v>
      </c>
      <c r="G16" s="24"/>
      <c r="H16" s="24" t="s">
        <v>111</v>
      </c>
      <c r="I16" s="24"/>
      <c r="J16" s="24" t="s">
        <v>73</v>
      </c>
      <c r="K16" s="26"/>
      <c r="L16" s="24"/>
      <c r="M16" s="26"/>
      <c r="N16" s="24" t="s">
        <v>130</v>
      </c>
      <c r="O16" s="24"/>
      <c r="P16" s="24"/>
      <c r="Q16" s="27"/>
      <c r="T16" t="s">
        <v>126</v>
      </c>
    </row>
    <row r="17" spans="2:20" x14ac:dyDescent="0.25">
      <c r="B17" s="111"/>
      <c r="C17" s="23" t="s">
        <v>40</v>
      </c>
      <c r="D17" s="24" t="s">
        <v>20</v>
      </c>
      <c r="E17" s="25" t="s">
        <v>89</v>
      </c>
      <c r="F17" s="25" t="s">
        <v>67</v>
      </c>
      <c r="G17" s="24"/>
      <c r="H17" s="24"/>
      <c r="I17" s="24">
        <v>2</v>
      </c>
      <c r="J17" s="24" t="s">
        <v>73</v>
      </c>
      <c r="K17" s="26"/>
      <c r="L17" s="24"/>
      <c r="M17" s="26"/>
      <c r="N17" s="24" t="s">
        <v>47</v>
      </c>
      <c r="O17" s="24" t="s">
        <v>74</v>
      </c>
      <c r="P17" s="24" t="s">
        <v>75</v>
      </c>
      <c r="Q17" s="27" t="s">
        <v>58</v>
      </c>
    </row>
    <row r="18" spans="2:20" x14ac:dyDescent="0.25">
      <c r="B18" s="111"/>
      <c r="C18" s="23"/>
      <c r="D18" s="24"/>
      <c r="E18" s="25" t="s">
        <v>89</v>
      </c>
      <c r="F18" s="25"/>
      <c r="G18" s="24">
        <v>1</v>
      </c>
      <c r="H18" s="24" t="s">
        <v>111</v>
      </c>
      <c r="I18" s="24"/>
      <c r="J18" s="24" t="s">
        <v>107</v>
      </c>
      <c r="K18" s="26"/>
      <c r="L18" s="24"/>
      <c r="M18" s="26" t="s">
        <v>74</v>
      </c>
      <c r="N18" s="24"/>
      <c r="O18" s="24"/>
      <c r="P18" s="24" t="s">
        <v>75</v>
      </c>
      <c r="Q18" s="27" t="s">
        <v>58</v>
      </c>
      <c r="T18" t="s">
        <v>108</v>
      </c>
    </row>
    <row r="19" spans="2:20" x14ac:dyDescent="0.25">
      <c r="B19" s="111"/>
      <c r="C19" s="23"/>
      <c r="D19" s="24"/>
      <c r="E19" s="25" t="s">
        <v>89</v>
      </c>
      <c r="F19" s="25"/>
      <c r="G19" s="24">
        <v>2</v>
      </c>
      <c r="H19" s="24" t="s">
        <v>20</v>
      </c>
      <c r="I19" s="24"/>
      <c r="J19" s="24" t="s">
        <v>73</v>
      </c>
      <c r="K19" s="26"/>
      <c r="L19" s="24"/>
      <c r="M19" s="26"/>
      <c r="N19" s="24"/>
      <c r="O19" s="24"/>
      <c r="P19" s="24" t="s">
        <v>73</v>
      </c>
      <c r="Q19" s="27"/>
      <c r="T19" t="s">
        <v>109</v>
      </c>
    </row>
    <row r="20" spans="2:20" x14ac:dyDescent="0.25">
      <c r="B20" s="111"/>
      <c r="C20" s="33" t="s">
        <v>41</v>
      </c>
      <c r="D20" s="34" t="s">
        <v>207</v>
      </c>
      <c r="E20" s="35" t="s">
        <v>124</v>
      </c>
      <c r="F20" s="35" t="s">
        <v>245</v>
      </c>
      <c r="G20" s="34"/>
      <c r="H20" s="34" t="s">
        <v>111</v>
      </c>
      <c r="I20" s="34">
        <v>2</v>
      </c>
      <c r="J20" s="34" t="s">
        <v>73</v>
      </c>
      <c r="K20" s="36"/>
      <c r="L20" s="34"/>
      <c r="M20" s="36"/>
      <c r="N20" s="34" t="s">
        <v>209</v>
      </c>
      <c r="O20" s="34" t="s">
        <v>74</v>
      </c>
      <c r="P20" s="34" t="s">
        <v>249</v>
      </c>
      <c r="Q20" s="37" t="s">
        <v>58</v>
      </c>
    </row>
    <row r="21" spans="2:20" x14ac:dyDescent="0.25">
      <c r="B21" s="111"/>
      <c r="C21" s="23" t="s">
        <v>41</v>
      </c>
      <c r="D21" s="24" t="s">
        <v>120</v>
      </c>
      <c r="E21" s="25" t="s">
        <v>246</v>
      </c>
      <c r="F21" s="25" t="s">
        <v>187</v>
      </c>
      <c r="G21" s="24"/>
      <c r="H21" s="24" t="s">
        <v>111</v>
      </c>
      <c r="I21" s="24"/>
      <c r="J21" s="24" t="s">
        <v>73</v>
      </c>
      <c r="K21" s="26"/>
      <c r="L21" s="24" t="s">
        <v>122</v>
      </c>
      <c r="M21" s="26" t="s">
        <v>74</v>
      </c>
      <c r="N21" s="24" t="s">
        <v>210</v>
      </c>
      <c r="O21" s="24"/>
      <c r="P21" s="24"/>
      <c r="Q21" s="27"/>
    </row>
    <row r="22" spans="2:20" s="2" customFormat="1" ht="15.75" thickBot="1" x14ac:dyDescent="0.3">
      <c r="B22" s="112"/>
      <c r="C22" s="49" t="s">
        <v>41</v>
      </c>
      <c r="D22" s="44" t="s">
        <v>121</v>
      </c>
      <c r="E22" s="50" t="s">
        <v>247</v>
      </c>
      <c r="F22" s="50" t="s">
        <v>188</v>
      </c>
      <c r="G22" s="44"/>
      <c r="H22" s="44" t="s">
        <v>111</v>
      </c>
      <c r="I22" s="44"/>
      <c r="J22" s="44" t="s">
        <v>73</v>
      </c>
      <c r="K22" s="51"/>
      <c r="L22" s="44"/>
      <c r="M22" s="51"/>
      <c r="N22" s="44" t="s">
        <v>211</v>
      </c>
      <c r="O22" s="44"/>
      <c r="P22" s="44"/>
      <c r="Q22" s="52"/>
      <c r="T22" s="53"/>
    </row>
    <row r="23" spans="2:20" x14ac:dyDescent="0.25">
      <c r="B23" s="110" t="s">
        <v>17</v>
      </c>
      <c r="C23" s="38" t="s">
        <v>40</v>
      </c>
      <c r="D23" s="39" t="s">
        <v>21</v>
      </c>
      <c r="E23" s="40" t="s">
        <v>94</v>
      </c>
      <c r="F23" s="40">
        <v>100000</v>
      </c>
      <c r="G23" s="39"/>
      <c r="H23" s="39" t="s">
        <v>111</v>
      </c>
      <c r="I23" s="39"/>
      <c r="J23" s="39" t="s">
        <v>73</v>
      </c>
      <c r="K23" s="41"/>
      <c r="L23" s="39" t="s">
        <v>75</v>
      </c>
      <c r="M23" s="41" t="s">
        <v>74</v>
      </c>
      <c r="N23" s="39" t="s">
        <v>48</v>
      </c>
      <c r="O23" s="39"/>
      <c r="P23" s="39"/>
      <c r="Q23" s="42"/>
    </row>
    <row r="24" spans="2:20" s="2" customFormat="1" x14ac:dyDescent="0.25">
      <c r="B24" s="111"/>
      <c r="C24" s="45" t="s">
        <v>41</v>
      </c>
      <c r="D24" s="43" t="s">
        <v>29</v>
      </c>
      <c r="E24" s="46" t="s">
        <v>90</v>
      </c>
      <c r="F24" s="46" t="s">
        <v>68</v>
      </c>
      <c r="G24" s="43"/>
      <c r="H24" s="43" t="s">
        <v>111</v>
      </c>
      <c r="I24" s="43"/>
      <c r="J24" s="43" t="s">
        <v>73</v>
      </c>
      <c r="K24" s="47"/>
      <c r="L24" s="43" t="s">
        <v>76</v>
      </c>
      <c r="M24" s="47" t="s">
        <v>74</v>
      </c>
      <c r="N24" s="43" t="s">
        <v>212</v>
      </c>
      <c r="O24" s="43"/>
      <c r="P24" s="43"/>
      <c r="Q24" s="48"/>
    </row>
    <row r="25" spans="2:20" x14ac:dyDescent="0.25">
      <c r="B25" s="111"/>
      <c r="C25" s="23" t="s">
        <v>40</v>
      </c>
      <c r="D25" s="24" t="s">
        <v>22</v>
      </c>
      <c r="E25" s="25" t="s">
        <v>95</v>
      </c>
      <c r="F25" s="25">
        <v>100001</v>
      </c>
      <c r="G25" s="24"/>
      <c r="H25" s="24" t="s">
        <v>111</v>
      </c>
      <c r="I25" s="24"/>
      <c r="J25" s="24" t="s">
        <v>73</v>
      </c>
      <c r="K25" s="26"/>
      <c r="L25" s="24" t="s">
        <v>78</v>
      </c>
      <c r="M25" s="26" t="s">
        <v>74</v>
      </c>
      <c r="N25" s="24" t="s">
        <v>49</v>
      </c>
      <c r="O25" s="24"/>
      <c r="P25" s="24"/>
      <c r="Q25" s="27"/>
    </row>
    <row r="26" spans="2:20" x14ac:dyDescent="0.25">
      <c r="B26" s="111"/>
      <c r="C26" s="23" t="s">
        <v>40</v>
      </c>
      <c r="D26" s="24" t="s">
        <v>217</v>
      </c>
      <c r="E26" s="25" t="s">
        <v>93</v>
      </c>
      <c r="F26" s="25" t="s">
        <v>71</v>
      </c>
      <c r="G26" s="24"/>
      <c r="H26" s="24" t="s">
        <v>111</v>
      </c>
      <c r="I26" s="24"/>
      <c r="J26" s="24" t="s">
        <v>73</v>
      </c>
      <c r="K26" s="26"/>
      <c r="L26" s="24" t="s">
        <v>78</v>
      </c>
      <c r="M26" s="26" t="s">
        <v>74</v>
      </c>
      <c r="N26" s="24" t="s">
        <v>220</v>
      </c>
      <c r="O26" s="24"/>
      <c r="P26" s="24"/>
      <c r="Q26" s="27"/>
    </row>
    <row r="27" spans="2:20" x14ac:dyDescent="0.25">
      <c r="B27" s="111"/>
      <c r="C27" s="23" t="s">
        <v>40</v>
      </c>
      <c r="D27" s="24" t="s">
        <v>23</v>
      </c>
      <c r="E27" s="25" t="s">
        <v>96</v>
      </c>
      <c r="F27" s="25">
        <v>100010</v>
      </c>
      <c r="G27" s="24"/>
      <c r="H27" s="24" t="s">
        <v>111</v>
      </c>
      <c r="I27" s="24"/>
      <c r="J27" s="24" t="s">
        <v>73</v>
      </c>
      <c r="K27" s="26"/>
      <c r="L27" s="24" t="s">
        <v>79</v>
      </c>
      <c r="M27" s="26" t="s">
        <v>74</v>
      </c>
      <c r="N27" s="24" t="s">
        <v>50</v>
      </c>
      <c r="O27" s="24"/>
      <c r="P27" s="24"/>
      <c r="Q27" s="27"/>
    </row>
    <row r="28" spans="2:20" s="2" customFormat="1" x14ac:dyDescent="0.25">
      <c r="B28" s="111"/>
      <c r="C28" s="45" t="s">
        <v>41</v>
      </c>
      <c r="D28" s="43" t="s">
        <v>31</v>
      </c>
      <c r="E28" s="46" t="s">
        <v>232</v>
      </c>
      <c r="F28" s="46" t="s">
        <v>218</v>
      </c>
      <c r="G28" s="43"/>
      <c r="H28" s="43" t="s">
        <v>111</v>
      </c>
      <c r="I28" s="43"/>
      <c r="J28" s="43" t="s">
        <v>73</v>
      </c>
      <c r="K28" s="47"/>
      <c r="L28" s="43" t="s">
        <v>80</v>
      </c>
      <c r="M28" s="47" t="s">
        <v>74</v>
      </c>
      <c r="N28" s="43" t="s">
        <v>213</v>
      </c>
      <c r="O28" s="43"/>
      <c r="P28" s="43"/>
      <c r="Q28" s="48"/>
    </row>
    <row r="29" spans="2:20" x14ac:dyDescent="0.25">
      <c r="B29" s="111"/>
      <c r="C29" s="23" t="s">
        <v>40</v>
      </c>
      <c r="D29" s="24" t="s">
        <v>24</v>
      </c>
      <c r="E29" s="25" t="s">
        <v>97</v>
      </c>
      <c r="F29" s="25">
        <v>100011</v>
      </c>
      <c r="G29" s="24"/>
      <c r="H29" s="24" t="s">
        <v>111</v>
      </c>
      <c r="I29" s="24"/>
      <c r="J29" s="24" t="s">
        <v>73</v>
      </c>
      <c r="K29" s="26"/>
      <c r="L29" s="24" t="s">
        <v>81</v>
      </c>
      <c r="M29" s="26" t="s">
        <v>74</v>
      </c>
      <c r="N29" s="24" t="s">
        <v>51</v>
      </c>
      <c r="O29" s="24"/>
      <c r="P29" s="24"/>
      <c r="Q29" s="27"/>
    </row>
    <row r="30" spans="2:20" x14ac:dyDescent="0.25">
      <c r="B30" s="111"/>
      <c r="C30" s="23" t="s">
        <v>40</v>
      </c>
      <c r="D30" s="24" t="s">
        <v>219</v>
      </c>
      <c r="E30" s="25" t="s">
        <v>88</v>
      </c>
      <c r="F30" s="25" t="s">
        <v>66</v>
      </c>
      <c r="G30" s="24"/>
      <c r="H30" s="24" t="s">
        <v>111</v>
      </c>
      <c r="I30" s="24"/>
      <c r="J30" s="24" t="s">
        <v>73</v>
      </c>
      <c r="K30" s="26"/>
      <c r="L30" s="24" t="s">
        <v>81</v>
      </c>
      <c r="M30" s="26" t="s">
        <v>74</v>
      </c>
      <c r="N30" s="24" t="s">
        <v>221</v>
      </c>
      <c r="O30" s="24"/>
      <c r="P30" s="24"/>
      <c r="Q30" s="27"/>
    </row>
    <row r="31" spans="2:20" x14ac:dyDescent="0.25">
      <c r="B31" s="111"/>
      <c r="C31" s="23" t="s">
        <v>40</v>
      </c>
      <c r="D31" s="24" t="s">
        <v>25</v>
      </c>
      <c r="E31" s="25" t="s">
        <v>98</v>
      </c>
      <c r="F31" s="25">
        <v>100100</v>
      </c>
      <c r="G31" s="24"/>
      <c r="H31" s="24" t="s">
        <v>111</v>
      </c>
      <c r="I31" s="24"/>
      <c r="J31" s="24" t="s">
        <v>73</v>
      </c>
      <c r="K31" s="26"/>
      <c r="L31" s="24" t="s">
        <v>82</v>
      </c>
      <c r="M31" s="26" t="s">
        <v>74</v>
      </c>
      <c r="N31" s="24" t="s">
        <v>52</v>
      </c>
      <c r="O31" s="24"/>
      <c r="P31" s="24"/>
      <c r="Q31" s="27"/>
    </row>
    <row r="32" spans="2:20" x14ac:dyDescent="0.25">
      <c r="B32" s="111"/>
      <c r="C32" s="23" t="s">
        <v>41</v>
      </c>
      <c r="D32" s="24" t="s">
        <v>33</v>
      </c>
      <c r="E32" s="25" t="s">
        <v>233</v>
      </c>
      <c r="F32" s="25" t="s">
        <v>223</v>
      </c>
      <c r="G32" s="24"/>
      <c r="H32" s="24" t="s">
        <v>111</v>
      </c>
      <c r="I32" s="24"/>
      <c r="J32" s="24" t="s">
        <v>73</v>
      </c>
      <c r="K32" s="26"/>
      <c r="L32" s="24" t="s">
        <v>226</v>
      </c>
      <c r="M32" s="26" t="s">
        <v>74</v>
      </c>
      <c r="N32" s="24" t="s">
        <v>214</v>
      </c>
      <c r="O32" s="24"/>
      <c r="P32" s="24"/>
      <c r="Q32" s="27"/>
    </row>
    <row r="33" spans="2:17" x14ac:dyDescent="0.25">
      <c r="B33" s="111"/>
      <c r="C33" s="23" t="s">
        <v>40</v>
      </c>
      <c r="D33" s="24" t="s">
        <v>26</v>
      </c>
      <c r="E33" s="25" t="s">
        <v>99</v>
      </c>
      <c r="F33" s="25">
        <v>100101</v>
      </c>
      <c r="G33" s="24"/>
      <c r="H33" s="24" t="s">
        <v>111</v>
      </c>
      <c r="I33" s="24"/>
      <c r="J33" s="24" t="s">
        <v>73</v>
      </c>
      <c r="K33" s="26"/>
      <c r="L33" s="24" t="s">
        <v>83</v>
      </c>
      <c r="M33" s="26" t="s">
        <v>74</v>
      </c>
      <c r="N33" s="24" t="s">
        <v>55</v>
      </c>
      <c r="O33" s="24"/>
      <c r="P33" s="24"/>
      <c r="Q33" s="27"/>
    </row>
    <row r="34" spans="2:17" x14ac:dyDescent="0.25">
      <c r="B34" s="111"/>
      <c r="C34" s="23" t="s">
        <v>41</v>
      </c>
      <c r="D34" s="24" t="s">
        <v>222</v>
      </c>
      <c r="E34" s="25" t="s">
        <v>234</v>
      </c>
      <c r="F34" s="25" t="s">
        <v>230</v>
      </c>
      <c r="G34" s="24"/>
      <c r="H34" s="24" t="s">
        <v>111</v>
      </c>
      <c r="I34" s="24"/>
      <c r="J34" s="24" t="s">
        <v>73</v>
      </c>
      <c r="K34" s="26"/>
      <c r="L34" s="24" t="s">
        <v>227</v>
      </c>
      <c r="M34" s="26" t="s">
        <v>74</v>
      </c>
      <c r="N34" s="24" t="s">
        <v>214</v>
      </c>
      <c r="O34" s="24"/>
      <c r="P34" s="24"/>
      <c r="Q34" s="27"/>
    </row>
    <row r="35" spans="2:17" x14ac:dyDescent="0.25">
      <c r="B35" s="111"/>
      <c r="C35" s="23" t="s">
        <v>40</v>
      </c>
      <c r="D35" s="24" t="s">
        <v>27</v>
      </c>
      <c r="E35" s="25" t="s">
        <v>100</v>
      </c>
      <c r="F35" s="25">
        <v>100110</v>
      </c>
      <c r="G35" s="24"/>
      <c r="H35" s="24" t="s">
        <v>111</v>
      </c>
      <c r="I35" s="24"/>
      <c r="J35" s="24" t="s">
        <v>73</v>
      </c>
      <c r="K35" s="26"/>
      <c r="L35" s="24" t="s">
        <v>84</v>
      </c>
      <c r="M35" s="26" t="s">
        <v>74</v>
      </c>
      <c r="N35" s="24" t="s">
        <v>53</v>
      </c>
      <c r="O35" s="24"/>
      <c r="P35" s="24"/>
      <c r="Q35" s="27"/>
    </row>
    <row r="36" spans="2:17" x14ac:dyDescent="0.25">
      <c r="B36" s="111"/>
      <c r="C36" s="23" t="s">
        <v>41</v>
      </c>
      <c r="D36" s="24" t="s">
        <v>39</v>
      </c>
      <c r="E36" s="25" t="s">
        <v>112</v>
      </c>
      <c r="F36" s="25" t="s">
        <v>224</v>
      </c>
      <c r="G36" s="24"/>
      <c r="H36" s="24" t="s">
        <v>111</v>
      </c>
      <c r="I36" s="24"/>
      <c r="J36" s="24" t="s">
        <v>73</v>
      </c>
      <c r="K36" s="26"/>
      <c r="L36" s="24" t="s">
        <v>228</v>
      </c>
      <c r="M36" s="26" t="s">
        <v>74</v>
      </c>
      <c r="N36" s="24" t="s">
        <v>215</v>
      </c>
      <c r="O36" s="24"/>
      <c r="P36" s="24"/>
      <c r="Q36" s="27"/>
    </row>
    <row r="37" spans="2:17" x14ac:dyDescent="0.25">
      <c r="B37" s="111"/>
      <c r="C37" s="23" t="s">
        <v>40</v>
      </c>
      <c r="D37" s="24" t="s">
        <v>28</v>
      </c>
      <c r="E37" s="25" t="s">
        <v>101</v>
      </c>
      <c r="F37" s="25">
        <v>100111</v>
      </c>
      <c r="G37" s="24"/>
      <c r="H37" s="24" t="s">
        <v>111</v>
      </c>
      <c r="I37" s="24"/>
      <c r="J37" s="24" t="s">
        <v>73</v>
      </c>
      <c r="K37" s="26"/>
      <c r="L37" s="24" t="s">
        <v>85</v>
      </c>
      <c r="M37" s="26" t="s">
        <v>74</v>
      </c>
      <c r="N37" s="24" t="s">
        <v>54</v>
      </c>
      <c r="O37" s="24"/>
      <c r="P37" s="24"/>
      <c r="Q37" s="27"/>
    </row>
    <row r="38" spans="2:17" ht="15.75" thickBot="1" x14ac:dyDescent="0.3">
      <c r="B38" s="112"/>
      <c r="C38" s="28" t="s">
        <v>41</v>
      </c>
      <c r="D38" s="29" t="s">
        <v>34</v>
      </c>
      <c r="E38" s="30" t="s">
        <v>114</v>
      </c>
      <c r="F38" s="30" t="s">
        <v>225</v>
      </c>
      <c r="G38" s="29"/>
      <c r="H38" s="29" t="s">
        <v>111</v>
      </c>
      <c r="I38" s="29"/>
      <c r="J38" s="29" t="s">
        <v>73</v>
      </c>
      <c r="K38" s="31"/>
      <c r="L38" s="29" t="s">
        <v>229</v>
      </c>
      <c r="M38" s="31" t="s">
        <v>74</v>
      </c>
      <c r="N38" s="29" t="s">
        <v>216</v>
      </c>
      <c r="O38" s="29"/>
      <c r="P38" s="29"/>
      <c r="Q38" s="32"/>
    </row>
    <row r="39" spans="2:17" hidden="1" x14ac:dyDescent="0.25">
      <c r="B39" s="110" t="s">
        <v>253</v>
      </c>
      <c r="C39" s="38" t="s">
        <v>40</v>
      </c>
      <c r="D39" s="39" t="s">
        <v>168</v>
      </c>
      <c r="E39" s="40" t="s">
        <v>298</v>
      </c>
      <c r="F39" s="40" t="s">
        <v>254</v>
      </c>
      <c r="G39" s="39"/>
      <c r="H39" s="39" t="s">
        <v>111</v>
      </c>
      <c r="I39" s="39"/>
      <c r="J39" s="39" t="s">
        <v>73</v>
      </c>
      <c r="K39" s="41"/>
      <c r="L39" s="39" t="s">
        <v>75</v>
      </c>
      <c r="M39" s="41" t="s">
        <v>74</v>
      </c>
      <c r="N39" s="39" t="s">
        <v>282</v>
      </c>
      <c r="O39" s="39"/>
      <c r="P39" s="39"/>
      <c r="Q39" s="42"/>
    </row>
    <row r="40" spans="2:17" s="53" customFormat="1" hidden="1" x14ac:dyDescent="0.25">
      <c r="B40" s="111"/>
      <c r="C40" s="99" t="s">
        <v>41</v>
      </c>
      <c r="D40" s="106" t="s">
        <v>184</v>
      </c>
      <c r="E40" s="107" t="s">
        <v>299</v>
      </c>
      <c r="F40" s="107" t="s">
        <v>255</v>
      </c>
      <c r="G40" s="106"/>
      <c r="H40" s="106" t="s">
        <v>111</v>
      </c>
      <c r="I40" s="106"/>
      <c r="J40" s="106" t="s">
        <v>73</v>
      </c>
      <c r="K40" s="101"/>
      <c r="L40" s="106" t="s">
        <v>76</v>
      </c>
      <c r="M40" s="101" t="s">
        <v>74</v>
      </c>
      <c r="N40" s="106" t="s">
        <v>283</v>
      </c>
      <c r="O40" s="106"/>
      <c r="P40" s="106"/>
      <c r="Q40" s="108"/>
    </row>
    <row r="41" spans="2:17" hidden="1" x14ac:dyDescent="0.25">
      <c r="B41" s="111"/>
      <c r="C41" s="23" t="s">
        <v>40</v>
      </c>
      <c r="D41" s="24" t="s">
        <v>169</v>
      </c>
      <c r="E41" s="25" t="s">
        <v>300</v>
      </c>
      <c r="F41" s="25" t="s">
        <v>256</v>
      </c>
      <c r="G41" s="24"/>
      <c r="H41" s="24" t="s">
        <v>111</v>
      </c>
      <c r="I41" s="24"/>
      <c r="J41" s="24" t="s">
        <v>73</v>
      </c>
      <c r="K41" s="26"/>
      <c r="L41" s="24" t="s">
        <v>78</v>
      </c>
      <c r="M41" s="26" t="s">
        <v>74</v>
      </c>
      <c r="N41" s="24" t="s">
        <v>284</v>
      </c>
      <c r="O41" s="24"/>
      <c r="P41" s="24"/>
      <c r="Q41" s="27"/>
    </row>
    <row r="42" spans="2:17" hidden="1" x14ac:dyDescent="0.25">
      <c r="B42" s="111"/>
      <c r="C42" s="23" t="s">
        <v>40</v>
      </c>
      <c r="D42" s="24" t="s">
        <v>270</v>
      </c>
      <c r="E42" s="25" t="s">
        <v>301</v>
      </c>
      <c r="F42" s="25" t="s">
        <v>257</v>
      </c>
      <c r="G42" s="24"/>
      <c r="H42" s="24" t="s">
        <v>111</v>
      </c>
      <c r="I42" s="24"/>
      <c r="J42" s="24" t="s">
        <v>73</v>
      </c>
      <c r="K42" s="26"/>
      <c r="L42" s="24" t="s">
        <v>78</v>
      </c>
      <c r="M42" s="26" t="s">
        <v>74</v>
      </c>
      <c r="N42" s="24" t="s">
        <v>285</v>
      </c>
      <c r="O42" s="24"/>
      <c r="P42" s="24"/>
      <c r="Q42" s="27"/>
    </row>
    <row r="43" spans="2:17" hidden="1" x14ac:dyDescent="0.25">
      <c r="B43" s="111"/>
      <c r="C43" s="23" t="s">
        <v>40</v>
      </c>
      <c r="D43" s="24" t="s">
        <v>170</v>
      </c>
      <c r="E43" s="25" t="s">
        <v>302</v>
      </c>
      <c r="F43" s="25" t="s">
        <v>258</v>
      </c>
      <c r="G43" s="24"/>
      <c r="H43" s="24" t="s">
        <v>111</v>
      </c>
      <c r="I43" s="24"/>
      <c r="J43" s="24" t="s">
        <v>73</v>
      </c>
      <c r="K43" s="26"/>
      <c r="L43" s="24" t="s">
        <v>79</v>
      </c>
      <c r="M43" s="26" t="s">
        <v>74</v>
      </c>
      <c r="N43" s="24" t="s">
        <v>294</v>
      </c>
      <c r="O43" s="24"/>
      <c r="P43" s="24"/>
      <c r="Q43" s="27"/>
    </row>
    <row r="44" spans="2:17" s="53" customFormat="1" hidden="1" x14ac:dyDescent="0.25">
      <c r="B44" s="111"/>
      <c r="C44" s="99" t="s">
        <v>41</v>
      </c>
      <c r="D44" s="106" t="s">
        <v>271</v>
      </c>
      <c r="E44" s="107" t="s">
        <v>303</v>
      </c>
      <c r="F44" s="107" t="s">
        <v>259</v>
      </c>
      <c r="G44" s="106"/>
      <c r="H44" s="106" t="s">
        <v>111</v>
      </c>
      <c r="I44" s="106"/>
      <c r="J44" s="106" t="s">
        <v>73</v>
      </c>
      <c r="K44" s="101"/>
      <c r="L44" s="106" t="s">
        <v>80</v>
      </c>
      <c r="M44" s="101" t="s">
        <v>74</v>
      </c>
      <c r="N44" s="106" t="s">
        <v>295</v>
      </c>
      <c r="O44" s="106"/>
      <c r="P44" s="106"/>
      <c r="Q44" s="108"/>
    </row>
    <row r="45" spans="2:17" hidden="1" x14ac:dyDescent="0.25">
      <c r="B45" s="111"/>
      <c r="C45" s="23" t="s">
        <v>40</v>
      </c>
      <c r="D45" s="24" t="s">
        <v>272</v>
      </c>
      <c r="E45" s="25" t="s">
        <v>304</v>
      </c>
      <c r="F45" s="25" t="s">
        <v>260</v>
      </c>
      <c r="G45" s="24"/>
      <c r="H45" s="24" t="s">
        <v>111</v>
      </c>
      <c r="I45" s="24"/>
      <c r="J45" s="24" t="s">
        <v>73</v>
      </c>
      <c r="K45" s="26"/>
      <c r="L45" s="24" t="s">
        <v>81</v>
      </c>
      <c r="M45" s="26" t="s">
        <v>74</v>
      </c>
      <c r="N45" s="24" t="s">
        <v>296</v>
      </c>
      <c r="O45" s="24"/>
      <c r="P45" s="24"/>
      <c r="Q45" s="27"/>
    </row>
    <row r="46" spans="2:17" hidden="1" x14ac:dyDescent="0.25">
      <c r="B46" s="111"/>
      <c r="C46" s="23" t="s">
        <v>40</v>
      </c>
      <c r="D46" s="24" t="s">
        <v>273</v>
      </c>
      <c r="E46" s="25" t="s">
        <v>305</v>
      </c>
      <c r="F46" s="25" t="s">
        <v>261</v>
      </c>
      <c r="G46" s="24"/>
      <c r="H46" s="24" t="s">
        <v>111</v>
      </c>
      <c r="I46" s="24"/>
      <c r="J46" s="24" t="s">
        <v>73</v>
      </c>
      <c r="K46" s="26"/>
      <c r="L46" s="24" t="s">
        <v>81</v>
      </c>
      <c r="M46" s="26" t="s">
        <v>74</v>
      </c>
      <c r="N46" s="24" t="s">
        <v>297</v>
      </c>
      <c r="O46" s="24"/>
      <c r="P46" s="24"/>
      <c r="Q46" s="27"/>
    </row>
    <row r="47" spans="2:17" hidden="1" x14ac:dyDescent="0.25">
      <c r="B47" s="111"/>
      <c r="C47" s="23" t="s">
        <v>40</v>
      </c>
      <c r="D47" s="24" t="s">
        <v>274</v>
      </c>
      <c r="E47" s="25" t="s">
        <v>306</v>
      </c>
      <c r="F47" s="25" t="s">
        <v>262</v>
      </c>
      <c r="G47" s="24"/>
      <c r="H47" s="24" t="s">
        <v>111</v>
      </c>
      <c r="I47" s="24"/>
      <c r="J47" s="24" t="s">
        <v>73</v>
      </c>
      <c r="K47" s="26"/>
      <c r="L47" s="24" t="s">
        <v>82</v>
      </c>
      <c r="M47" s="26" t="s">
        <v>74</v>
      </c>
      <c r="N47" s="24" t="s">
        <v>286</v>
      </c>
      <c r="O47" s="24"/>
      <c r="P47" s="24"/>
      <c r="Q47" s="27"/>
    </row>
    <row r="48" spans="2:17" hidden="1" x14ac:dyDescent="0.25">
      <c r="B48" s="111"/>
      <c r="C48" s="23" t="s">
        <v>41</v>
      </c>
      <c r="D48" s="24" t="s">
        <v>275</v>
      </c>
      <c r="E48" s="25" t="s">
        <v>307</v>
      </c>
      <c r="F48" s="25" t="s">
        <v>263</v>
      </c>
      <c r="G48" s="24"/>
      <c r="H48" s="24" t="s">
        <v>111</v>
      </c>
      <c r="I48" s="24"/>
      <c r="J48" s="24" t="s">
        <v>73</v>
      </c>
      <c r="K48" s="26"/>
      <c r="L48" s="24" t="s">
        <v>226</v>
      </c>
      <c r="M48" s="26" t="s">
        <v>74</v>
      </c>
      <c r="N48" s="24" t="s">
        <v>287</v>
      </c>
      <c r="O48" s="24"/>
      <c r="P48" s="24"/>
      <c r="Q48" s="27"/>
    </row>
    <row r="49" spans="2:17" hidden="1" x14ac:dyDescent="0.25">
      <c r="B49" s="111"/>
      <c r="C49" s="23" t="s">
        <v>40</v>
      </c>
      <c r="D49" s="24" t="s">
        <v>276</v>
      </c>
      <c r="E49" s="25" t="s">
        <v>308</v>
      </c>
      <c r="F49" s="25" t="s">
        <v>264</v>
      </c>
      <c r="G49" s="24"/>
      <c r="H49" s="24" t="s">
        <v>111</v>
      </c>
      <c r="I49" s="24"/>
      <c r="J49" s="24" t="s">
        <v>73</v>
      </c>
      <c r="K49" s="26"/>
      <c r="L49" s="24" t="s">
        <v>83</v>
      </c>
      <c r="M49" s="26" t="s">
        <v>74</v>
      </c>
      <c r="N49" s="24" t="s">
        <v>288</v>
      </c>
      <c r="O49" s="24"/>
      <c r="P49" s="24"/>
      <c r="Q49" s="27"/>
    </row>
    <row r="50" spans="2:17" hidden="1" x14ac:dyDescent="0.25">
      <c r="B50" s="111"/>
      <c r="C50" s="23" t="s">
        <v>41</v>
      </c>
      <c r="D50" s="24" t="s">
        <v>277</v>
      </c>
      <c r="E50" s="25" t="s">
        <v>309</v>
      </c>
      <c r="F50" s="25" t="s">
        <v>265</v>
      </c>
      <c r="G50" s="24"/>
      <c r="H50" s="24" t="s">
        <v>111</v>
      </c>
      <c r="I50" s="24"/>
      <c r="J50" s="24" t="s">
        <v>73</v>
      </c>
      <c r="K50" s="26"/>
      <c r="L50" s="24" t="s">
        <v>227</v>
      </c>
      <c r="M50" s="26" t="s">
        <v>74</v>
      </c>
      <c r="N50" s="24" t="s">
        <v>289</v>
      </c>
      <c r="O50" s="24"/>
      <c r="P50" s="24"/>
      <c r="Q50" s="27"/>
    </row>
    <row r="51" spans="2:17" hidden="1" x14ac:dyDescent="0.25">
      <c r="B51" s="111"/>
      <c r="C51" s="23" t="s">
        <v>40</v>
      </c>
      <c r="D51" s="24" t="s">
        <v>278</v>
      </c>
      <c r="E51" s="25" t="s">
        <v>310</v>
      </c>
      <c r="F51" s="25" t="s">
        <v>266</v>
      </c>
      <c r="G51" s="24"/>
      <c r="H51" s="24" t="s">
        <v>111</v>
      </c>
      <c r="I51" s="24"/>
      <c r="J51" s="24" t="s">
        <v>73</v>
      </c>
      <c r="K51" s="26"/>
      <c r="L51" s="24" t="s">
        <v>84</v>
      </c>
      <c r="M51" s="26" t="s">
        <v>74</v>
      </c>
      <c r="N51" s="24" t="s">
        <v>290</v>
      </c>
      <c r="O51" s="24"/>
      <c r="P51" s="24"/>
      <c r="Q51" s="27"/>
    </row>
    <row r="52" spans="2:17" hidden="1" x14ac:dyDescent="0.25">
      <c r="B52" s="111"/>
      <c r="C52" s="23" t="s">
        <v>41</v>
      </c>
      <c r="D52" s="24" t="s">
        <v>279</v>
      </c>
      <c r="E52" s="25" t="s">
        <v>311</v>
      </c>
      <c r="F52" s="25" t="s">
        <v>267</v>
      </c>
      <c r="G52" s="24"/>
      <c r="H52" s="24" t="s">
        <v>111</v>
      </c>
      <c r="I52" s="24"/>
      <c r="J52" s="24" t="s">
        <v>73</v>
      </c>
      <c r="K52" s="26"/>
      <c r="L52" s="24" t="s">
        <v>228</v>
      </c>
      <c r="M52" s="26" t="s">
        <v>74</v>
      </c>
      <c r="N52" s="24" t="s">
        <v>291</v>
      </c>
      <c r="O52" s="24"/>
      <c r="P52" s="24"/>
      <c r="Q52" s="27"/>
    </row>
    <row r="53" spans="2:17" hidden="1" x14ac:dyDescent="0.25">
      <c r="B53" s="111"/>
      <c r="C53" s="23" t="s">
        <v>40</v>
      </c>
      <c r="D53" s="24" t="s">
        <v>280</v>
      </c>
      <c r="E53" s="25" t="s">
        <v>312</v>
      </c>
      <c r="F53" s="25" t="s">
        <v>268</v>
      </c>
      <c r="G53" s="24"/>
      <c r="H53" s="24" t="s">
        <v>111</v>
      </c>
      <c r="I53" s="24"/>
      <c r="J53" s="24" t="s">
        <v>73</v>
      </c>
      <c r="K53" s="26"/>
      <c r="L53" s="24" t="s">
        <v>85</v>
      </c>
      <c r="M53" s="26" t="s">
        <v>74</v>
      </c>
      <c r="N53" s="24" t="s">
        <v>292</v>
      </c>
      <c r="O53" s="24"/>
      <c r="P53" s="24"/>
      <c r="Q53" s="27"/>
    </row>
    <row r="54" spans="2:17" ht="15.75" hidden="1" thickBot="1" x14ac:dyDescent="0.3">
      <c r="B54" s="112"/>
      <c r="C54" s="28" t="s">
        <v>41</v>
      </c>
      <c r="D54" s="29" t="s">
        <v>281</v>
      </c>
      <c r="E54" s="30" t="s">
        <v>313</v>
      </c>
      <c r="F54" s="30" t="s">
        <v>269</v>
      </c>
      <c r="G54" s="29"/>
      <c r="H54" s="29" t="s">
        <v>111</v>
      </c>
      <c r="I54" s="29"/>
      <c r="J54" s="29" t="s">
        <v>73</v>
      </c>
      <c r="K54" s="31"/>
      <c r="L54" s="29" t="s">
        <v>229</v>
      </c>
      <c r="M54" s="31" t="s">
        <v>74</v>
      </c>
      <c r="N54" s="29" t="s">
        <v>293</v>
      </c>
      <c r="O54" s="29"/>
      <c r="P54" s="29"/>
      <c r="Q54" s="32"/>
    </row>
    <row r="55" spans="2:17" ht="8.25" customHeight="1" x14ac:dyDescent="0.25"/>
    <row r="56" spans="2:17" x14ac:dyDescent="0.25">
      <c r="B56" t="s">
        <v>119</v>
      </c>
      <c r="M56" s="10" t="s">
        <v>40</v>
      </c>
      <c r="N56" s="10" t="s">
        <v>62</v>
      </c>
    </row>
    <row r="57" spans="2:17" x14ac:dyDescent="0.25">
      <c r="B57" t="s">
        <v>127</v>
      </c>
      <c r="M57" s="10" t="s">
        <v>41</v>
      </c>
      <c r="N57" s="10" t="s">
        <v>252</v>
      </c>
    </row>
    <row r="58" spans="2:17" x14ac:dyDescent="0.25">
      <c r="B58" t="s">
        <v>117</v>
      </c>
      <c r="M58" s="10" t="s">
        <v>60</v>
      </c>
      <c r="N58" s="10" t="s">
        <v>251</v>
      </c>
    </row>
    <row r="59" spans="2:17" x14ac:dyDescent="0.25">
      <c r="B59" t="s">
        <v>102</v>
      </c>
      <c r="M59" s="10" t="s">
        <v>59</v>
      </c>
      <c r="N59" s="10" t="s">
        <v>63</v>
      </c>
    </row>
    <row r="60" spans="2:17" x14ac:dyDescent="0.25">
      <c r="M60" s="10" t="s">
        <v>61</v>
      </c>
      <c r="N60" s="10" t="s">
        <v>64</v>
      </c>
    </row>
    <row r="61" spans="2:17" x14ac:dyDescent="0.25">
      <c r="M61" s="10" t="s">
        <v>125</v>
      </c>
      <c r="N61" s="10" t="s">
        <v>129</v>
      </c>
    </row>
  </sheetData>
  <mergeCells count="4">
    <mergeCell ref="B5:B10"/>
    <mergeCell ref="B23:B38"/>
    <mergeCell ref="B11:B22"/>
    <mergeCell ref="B39:B54"/>
  </mergeCells>
  <pageMargins left="0.25" right="0.25" top="0.75" bottom="0.75" header="0.3" footer="0.3"/>
  <pageSetup scale="78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28"/>
  <sheetViews>
    <sheetView tabSelected="1" zoomScaleNormal="100" workbookViewId="0">
      <selection activeCell="K32" sqref="K32"/>
    </sheetView>
  </sheetViews>
  <sheetFormatPr defaultRowHeight="15" x14ac:dyDescent="0.25"/>
  <cols>
    <col min="1" max="1" width="2.42578125" customWidth="1"/>
    <col min="2" max="2" width="23.42578125" customWidth="1"/>
    <col min="3" max="3" width="9.7109375" style="56" customWidth="1"/>
    <col min="4" max="4" width="6.140625" style="11" customWidth="1"/>
    <col min="5" max="5" width="8.140625" style="11" customWidth="1"/>
    <col min="6" max="7" width="4.85546875" style="11" customWidth="1"/>
    <col min="8" max="8" width="9.140625" style="54" customWidth="1"/>
    <col min="9" max="9" width="6.140625" style="55" customWidth="1"/>
    <col min="10" max="10" width="6.7109375" style="55" customWidth="1"/>
    <col min="11" max="11" width="6.42578125" style="11" customWidth="1"/>
    <col min="12" max="12" width="7.5703125" style="83" customWidth="1"/>
    <col min="13" max="13" width="7.5703125" style="11" customWidth="1"/>
    <col min="14" max="14" width="10.7109375" style="11" customWidth="1"/>
    <col min="15" max="15" width="5.85546875" style="11" customWidth="1"/>
    <col min="16" max="16" width="9.140625" style="11" customWidth="1"/>
    <col min="17" max="17" width="7.7109375" style="11" customWidth="1"/>
    <col min="18" max="18" width="9.140625" style="11" customWidth="1"/>
    <col min="19" max="19" width="10.140625" style="11" customWidth="1"/>
    <col min="20" max="20" width="37" style="60" customWidth="1"/>
    <col min="21" max="21" width="25.42578125" style="60" customWidth="1"/>
  </cols>
  <sheetData>
    <row r="1" spans="2:21" ht="15.75" x14ac:dyDescent="0.25">
      <c r="B1" s="4" t="s">
        <v>131</v>
      </c>
      <c r="H1" s="76" t="s">
        <v>173</v>
      </c>
    </row>
    <row r="2" spans="2:21" ht="15.75" thickBot="1" x14ac:dyDescent="0.3"/>
    <row r="3" spans="2:21" s="12" customFormat="1" ht="32.25" customHeight="1" thickBot="1" x14ac:dyDescent="0.3">
      <c r="B3" s="7" t="s">
        <v>132</v>
      </c>
      <c r="C3" s="57" t="s">
        <v>147</v>
      </c>
      <c r="D3" s="8" t="s">
        <v>154</v>
      </c>
      <c r="E3" s="8" t="s">
        <v>143</v>
      </c>
      <c r="F3" s="8" t="s">
        <v>152</v>
      </c>
      <c r="G3" s="8" t="s">
        <v>156</v>
      </c>
      <c r="H3" s="58" t="s">
        <v>134</v>
      </c>
      <c r="I3" s="59" t="s">
        <v>151</v>
      </c>
      <c r="J3" s="59" t="s">
        <v>191</v>
      </c>
      <c r="K3" s="8" t="s">
        <v>133</v>
      </c>
      <c r="L3" s="8" t="s">
        <v>136</v>
      </c>
      <c r="M3" s="8" t="s">
        <v>137</v>
      </c>
      <c r="N3" s="8" t="s">
        <v>138</v>
      </c>
      <c r="O3" s="8" t="s">
        <v>144</v>
      </c>
      <c r="P3" s="8" t="s">
        <v>141</v>
      </c>
      <c r="Q3" s="8" t="s">
        <v>142</v>
      </c>
      <c r="R3" s="8" t="s">
        <v>139</v>
      </c>
      <c r="S3" s="8" t="s">
        <v>140</v>
      </c>
      <c r="T3" s="6" t="s">
        <v>103</v>
      </c>
      <c r="U3" s="130"/>
    </row>
    <row r="4" spans="2:21" ht="9" customHeight="1" thickBot="1" x14ac:dyDescent="0.3"/>
    <row r="5" spans="2:21" s="2" customFormat="1" x14ac:dyDescent="0.25">
      <c r="B5" s="92" t="s">
        <v>146</v>
      </c>
      <c r="C5" s="93">
        <v>42410</v>
      </c>
      <c r="D5" s="94">
        <v>4</v>
      </c>
      <c r="E5" s="94">
        <v>4</v>
      </c>
      <c r="F5" s="94" t="s">
        <v>58</v>
      </c>
      <c r="G5" s="94" t="s">
        <v>58</v>
      </c>
      <c r="H5" s="95">
        <v>9.2119999999999997</v>
      </c>
      <c r="I5" s="96">
        <f t="shared" ref="I5:I19" si="0">1000/H5</f>
        <v>108.55405992184107</v>
      </c>
      <c r="J5" s="96">
        <f>833*I5/K5</f>
        <v>491.44310823311747</v>
      </c>
      <c r="K5" s="97">
        <v>184</v>
      </c>
      <c r="L5" s="97">
        <v>56</v>
      </c>
      <c r="M5" s="94">
        <v>96</v>
      </c>
      <c r="N5" s="94">
        <v>0</v>
      </c>
      <c r="O5" s="94" t="s">
        <v>58</v>
      </c>
      <c r="P5" s="94" t="s">
        <v>148</v>
      </c>
      <c r="Q5" s="94">
        <v>45</v>
      </c>
      <c r="R5" s="94" t="s">
        <v>149</v>
      </c>
      <c r="S5" s="94"/>
      <c r="T5" s="98" t="s">
        <v>159</v>
      </c>
      <c r="U5" s="131"/>
    </row>
    <row r="6" spans="2:21" x14ac:dyDescent="0.25">
      <c r="B6" s="23" t="s">
        <v>135</v>
      </c>
      <c r="C6" s="65">
        <v>42415</v>
      </c>
      <c r="D6" s="26">
        <v>4</v>
      </c>
      <c r="E6" s="26">
        <v>4</v>
      </c>
      <c r="F6" s="26" t="s">
        <v>58</v>
      </c>
      <c r="G6" s="26" t="s">
        <v>58</v>
      </c>
      <c r="H6" s="79">
        <v>7.0469999999999997</v>
      </c>
      <c r="I6" s="77">
        <f t="shared" si="0"/>
        <v>141.90435646374345</v>
      </c>
      <c r="J6" s="77">
        <f t="shared" ref="J6:J19" si="1">833*I6/K6</f>
        <v>869.16418334042874</v>
      </c>
      <c r="K6" s="80">
        <v>136</v>
      </c>
      <c r="L6" s="80">
        <v>32</v>
      </c>
      <c r="M6" s="26">
        <v>96</v>
      </c>
      <c r="N6" s="26">
        <v>0</v>
      </c>
      <c r="O6" s="26" t="s">
        <v>58</v>
      </c>
      <c r="P6" s="26" t="s">
        <v>148</v>
      </c>
      <c r="Q6" s="26">
        <v>45</v>
      </c>
      <c r="R6" s="26" t="s">
        <v>149</v>
      </c>
      <c r="S6" s="26" t="s">
        <v>150</v>
      </c>
      <c r="T6" s="68" t="s">
        <v>145</v>
      </c>
    </row>
    <row r="7" spans="2:21" x14ac:dyDescent="0.25">
      <c r="B7" s="23" t="s">
        <v>153</v>
      </c>
      <c r="C7" s="65">
        <v>42413</v>
      </c>
      <c r="D7" s="26">
        <v>25</v>
      </c>
      <c r="E7" s="26">
        <v>5</v>
      </c>
      <c r="F7" s="26" t="s">
        <v>175</v>
      </c>
      <c r="G7" s="26" t="s">
        <v>111</v>
      </c>
      <c r="H7" s="79">
        <v>12.032</v>
      </c>
      <c r="I7" s="77">
        <f t="shared" si="0"/>
        <v>83.111702127659569</v>
      </c>
      <c r="J7" s="77">
        <f t="shared" si="1"/>
        <v>61.869569144182684</v>
      </c>
      <c r="K7" s="80">
        <v>1119</v>
      </c>
      <c r="L7" s="80">
        <v>264</v>
      </c>
      <c r="M7" s="26">
        <v>96</v>
      </c>
      <c r="N7" s="26">
        <v>3</v>
      </c>
      <c r="O7" s="26" t="s">
        <v>58</v>
      </c>
      <c r="P7" s="26" t="s">
        <v>148</v>
      </c>
      <c r="Q7" s="26">
        <v>45</v>
      </c>
      <c r="R7" s="26" t="s">
        <v>149</v>
      </c>
      <c r="S7" s="26" t="s">
        <v>150</v>
      </c>
      <c r="T7" s="68" t="s">
        <v>157</v>
      </c>
    </row>
    <row r="8" spans="2:21" x14ac:dyDescent="0.25">
      <c r="B8" s="23" t="s">
        <v>153</v>
      </c>
      <c r="C8" s="65">
        <v>42413</v>
      </c>
      <c r="D8" s="26">
        <v>25</v>
      </c>
      <c r="E8" s="26">
        <v>5</v>
      </c>
      <c r="F8" s="26" t="s">
        <v>175</v>
      </c>
      <c r="G8" s="26" t="s">
        <v>111</v>
      </c>
      <c r="H8" s="79">
        <v>13.409000000000001</v>
      </c>
      <c r="I8" s="77">
        <f t="shared" si="0"/>
        <v>74.576776791707061</v>
      </c>
      <c r="J8" s="77">
        <f t="shared" si="1"/>
        <v>66.017486787982975</v>
      </c>
      <c r="K8" s="80">
        <v>941</v>
      </c>
      <c r="L8" s="80">
        <v>260</v>
      </c>
      <c r="M8" s="26">
        <v>96</v>
      </c>
      <c r="N8" s="26">
        <v>1</v>
      </c>
      <c r="O8" s="26" t="s">
        <v>58</v>
      </c>
      <c r="P8" s="26" t="s">
        <v>148</v>
      </c>
      <c r="Q8" s="26">
        <v>45</v>
      </c>
      <c r="R8" s="26" t="s">
        <v>149</v>
      </c>
      <c r="S8" s="26" t="s">
        <v>150</v>
      </c>
      <c r="T8" s="68" t="s">
        <v>181</v>
      </c>
    </row>
    <row r="9" spans="2:21" x14ac:dyDescent="0.25">
      <c r="B9" s="23" t="s">
        <v>182</v>
      </c>
      <c r="C9" s="65">
        <v>42435</v>
      </c>
      <c r="D9" s="26">
        <v>27</v>
      </c>
      <c r="E9" s="26"/>
      <c r="F9" s="26" t="s">
        <v>189</v>
      </c>
      <c r="G9" s="26" t="s">
        <v>111</v>
      </c>
      <c r="H9" s="79">
        <v>11.996</v>
      </c>
      <c r="I9" s="77">
        <f t="shared" ref="I9:I15" si="2">1000/H9</f>
        <v>83.361120373457823</v>
      </c>
      <c r="J9" s="77">
        <f t="shared" ref="J9:J15" si="3">833*I9/K9</f>
        <v>48.155210312822717</v>
      </c>
      <c r="K9" s="80">
        <v>1442</v>
      </c>
      <c r="L9" s="80">
        <v>260</v>
      </c>
      <c r="M9" s="26">
        <v>96</v>
      </c>
      <c r="N9" s="26">
        <v>3</v>
      </c>
      <c r="O9" s="26" t="s">
        <v>58</v>
      </c>
      <c r="P9" s="26" t="s">
        <v>148</v>
      </c>
      <c r="Q9" s="26">
        <v>45</v>
      </c>
      <c r="R9" s="26" t="s">
        <v>149</v>
      </c>
      <c r="S9" s="26" t="s">
        <v>192</v>
      </c>
      <c r="T9" s="68" t="s">
        <v>183</v>
      </c>
    </row>
    <row r="10" spans="2:21" x14ac:dyDescent="0.25">
      <c r="B10" s="23" t="s">
        <v>182</v>
      </c>
      <c r="C10" s="65">
        <v>42435</v>
      </c>
      <c r="D10" s="26">
        <v>27</v>
      </c>
      <c r="E10" s="26"/>
      <c r="F10" s="26" t="s">
        <v>189</v>
      </c>
      <c r="G10" s="26" t="s">
        <v>111</v>
      </c>
      <c r="H10" s="79">
        <v>13.167</v>
      </c>
      <c r="I10" s="77">
        <f t="shared" si="2"/>
        <v>75.947444368497003</v>
      </c>
      <c r="J10" s="77">
        <f t="shared" si="3"/>
        <v>56.284894269535592</v>
      </c>
      <c r="K10" s="80">
        <v>1124</v>
      </c>
      <c r="L10" s="80">
        <v>260</v>
      </c>
      <c r="M10" s="26">
        <v>96</v>
      </c>
      <c r="N10" s="26">
        <v>1</v>
      </c>
      <c r="O10" s="26" t="s">
        <v>58</v>
      </c>
      <c r="P10" s="26" t="s">
        <v>148</v>
      </c>
      <c r="Q10" s="26">
        <v>45</v>
      </c>
      <c r="R10" s="26" t="s">
        <v>149</v>
      </c>
      <c r="S10" s="26" t="s">
        <v>192</v>
      </c>
      <c r="T10" s="68" t="s">
        <v>181</v>
      </c>
    </row>
    <row r="11" spans="2:21" hidden="1" x14ac:dyDescent="0.25">
      <c r="B11" s="23" t="s">
        <v>182</v>
      </c>
      <c r="C11" s="65">
        <v>42437</v>
      </c>
      <c r="D11" s="26">
        <v>30</v>
      </c>
      <c r="E11" s="26"/>
      <c r="F11" s="26" t="s">
        <v>189</v>
      </c>
      <c r="G11" s="26" t="s">
        <v>111</v>
      </c>
      <c r="H11" s="79">
        <v>12.388999999999999</v>
      </c>
      <c r="I11" s="77">
        <f t="shared" si="2"/>
        <v>80.716764872063933</v>
      </c>
      <c r="J11" s="77">
        <f t="shared" si="3"/>
        <v>37.965592963539954</v>
      </c>
      <c r="K11" s="80">
        <v>1771</v>
      </c>
      <c r="L11" s="80">
        <v>344</v>
      </c>
      <c r="M11" s="26">
        <v>96</v>
      </c>
      <c r="N11" s="26">
        <v>3</v>
      </c>
      <c r="O11" s="26" t="s">
        <v>58</v>
      </c>
      <c r="P11" s="26" t="s">
        <v>148</v>
      </c>
      <c r="Q11" s="26">
        <v>45</v>
      </c>
      <c r="R11" s="26" t="s">
        <v>149</v>
      </c>
      <c r="S11" s="26" t="s">
        <v>192</v>
      </c>
      <c r="T11" s="68" t="s">
        <v>193</v>
      </c>
    </row>
    <row r="12" spans="2:21" hidden="1" x14ac:dyDescent="0.25">
      <c r="B12" s="23" t="s">
        <v>182</v>
      </c>
      <c r="C12" s="65">
        <v>42437</v>
      </c>
      <c r="D12" s="26">
        <v>30</v>
      </c>
      <c r="E12" s="26"/>
      <c r="F12" s="26" t="s">
        <v>189</v>
      </c>
      <c r="G12" s="26" t="s">
        <v>111</v>
      </c>
      <c r="H12" s="79">
        <v>13.760999999999999</v>
      </c>
      <c r="I12" s="77">
        <f t="shared" si="2"/>
        <v>72.66913741733886</v>
      </c>
      <c r="J12" s="77">
        <f t="shared" si="3"/>
        <v>36.709151891233034</v>
      </c>
      <c r="K12" s="80">
        <v>1649</v>
      </c>
      <c r="L12" s="80">
        <v>344</v>
      </c>
      <c r="M12" s="26">
        <v>96</v>
      </c>
      <c r="N12" s="26">
        <v>1</v>
      </c>
      <c r="O12" s="26" t="s">
        <v>58</v>
      </c>
      <c r="P12" s="26" t="s">
        <v>148</v>
      </c>
      <c r="Q12" s="26">
        <v>45</v>
      </c>
      <c r="R12" s="26" t="s">
        <v>149</v>
      </c>
      <c r="S12" s="26" t="s">
        <v>192</v>
      </c>
      <c r="T12" s="68" t="s">
        <v>194</v>
      </c>
    </row>
    <row r="13" spans="2:21" hidden="1" x14ac:dyDescent="0.25">
      <c r="B13" s="23" t="s">
        <v>182</v>
      </c>
      <c r="C13" s="65">
        <v>42437</v>
      </c>
      <c r="D13" s="26">
        <v>30</v>
      </c>
      <c r="E13" s="26"/>
      <c r="F13" s="26" t="s">
        <v>189</v>
      </c>
      <c r="G13" s="26" t="s">
        <v>111</v>
      </c>
      <c r="H13" s="79">
        <v>11.837999999999999</v>
      </c>
      <c r="I13" s="77">
        <f t="shared" si="2"/>
        <v>84.473728670383522</v>
      </c>
      <c r="J13" s="77">
        <f t="shared" si="3"/>
        <v>75.989866071738092</v>
      </c>
      <c r="K13" s="80">
        <v>926</v>
      </c>
      <c r="L13" s="80">
        <v>208</v>
      </c>
      <c r="M13" s="26">
        <v>96</v>
      </c>
      <c r="N13" s="26">
        <v>3</v>
      </c>
      <c r="O13" s="26" t="s">
        <v>58</v>
      </c>
      <c r="P13" s="26" t="s">
        <v>148</v>
      </c>
      <c r="Q13" s="26">
        <v>45</v>
      </c>
      <c r="R13" s="26" t="s">
        <v>149</v>
      </c>
      <c r="S13" s="26" t="s">
        <v>192</v>
      </c>
      <c r="T13" s="68" t="s">
        <v>195</v>
      </c>
    </row>
    <row r="14" spans="2:21" ht="15.75" hidden="1" customHeight="1" x14ac:dyDescent="0.25">
      <c r="B14" s="23" t="s">
        <v>182</v>
      </c>
      <c r="C14" s="65">
        <v>42437</v>
      </c>
      <c r="D14" s="26">
        <v>30</v>
      </c>
      <c r="E14" s="26"/>
      <c r="F14" s="26" t="s">
        <v>189</v>
      </c>
      <c r="G14" s="26" t="s">
        <v>111</v>
      </c>
      <c r="H14" s="79">
        <v>12.028</v>
      </c>
      <c r="I14" s="77">
        <f t="shared" si="2"/>
        <v>83.139341536415031</v>
      </c>
      <c r="J14" s="77">
        <f t="shared" si="3"/>
        <v>86.245419053342118</v>
      </c>
      <c r="K14" s="80">
        <v>803</v>
      </c>
      <c r="L14" s="80">
        <v>208</v>
      </c>
      <c r="M14" s="26">
        <v>96</v>
      </c>
      <c r="N14" s="26">
        <v>1</v>
      </c>
      <c r="O14" s="26" t="s">
        <v>58</v>
      </c>
      <c r="P14" s="26" t="s">
        <v>148</v>
      </c>
      <c r="Q14" s="26">
        <v>45</v>
      </c>
      <c r="R14" s="26" t="s">
        <v>149</v>
      </c>
      <c r="S14" s="26" t="s">
        <v>192</v>
      </c>
      <c r="T14" s="68" t="s">
        <v>196</v>
      </c>
    </row>
    <row r="15" spans="2:21" s="53" customFormat="1" x14ac:dyDescent="0.25">
      <c r="B15" s="99" t="s">
        <v>190</v>
      </c>
      <c r="C15" s="100">
        <v>42437</v>
      </c>
      <c r="D15" s="101">
        <v>30</v>
      </c>
      <c r="E15" s="101">
        <v>5</v>
      </c>
      <c r="F15" s="101" t="s">
        <v>189</v>
      </c>
      <c r="G15" s="101" t="s">
        <v>111</v>
      </c>
      <c r="H15" s="102">
        <v>9.0589999999999993</v>
      </c>
      <c r="I15" s="103">
        <f t="shared" si="2"/>
        <v>110.38745998454577</v>
      </c>
      <c r="J15" s="103">
        <f t="shared" si="3"/>
        <v>180.6537409963195</v>
      </c>
      <c r="K15" s="104">
        <v>509</v>
      </c>
      <c r="L15" s="104">
        <v>76</v>
      </c>
      <c r="M15" s="101">
        <v>96</v>
      </c>
      <c r="N15" s="101">
        <v>3</v>
      </c>
      <c r="O15" s="101" t="s">
        <v>58</v>
      </c>
      <c r="P15" s="101" t="s">
        <v>148</v>
      </c>
      <c r="Q15" s="101">
        <v>45</v>
      </c>
      <c r="R15" s="101" t="s">
        <v>149</v>
      </c>
      <c r="S15" s="101" t="s">
        <v>192</v>
      </c>
      <c r="T15" s="105" t="s">
        <v>197</v>
      </c>
      <c r="U15" s="132"/>
    </row>
    <row r="16" spans="2:21" x14ac:dyDescent="0.25">
      <c r="B16" s="23" t="s">
        <v>174</v>
      </c>
      <c r="C16" s="65">
        <v>42415</v>
      </c>
      <c r="D16" s="26">
        <v>27</v>
      </c>
      <c r="E16" s="26">
        <v>5</v>
      </c>
      <c r="F16" s="26" t="s">
        <v>111</v>
      </c>
      <c r="G16" s="26" t="s">
        <v>111</v>
      </c>
      <c r="H16" s="79">
        <v>9.4960000000000004</v>
      </c>
      <c r="I16" s="77">
        <f t="shared" ref="I16:I17" si="4">1000/H16</f>
        <v>105.30749789385004</v>
      </c>
      <c r="J16" s="77">
        <f t="shared" si="1"/>
        <v>171.33036278433025</v>
      </c>
      <c r="K16" s="80">
        <v>512</v>
      </c>
      <c r="L16" s="80">
        <v>52</v>
      </c>
      <c r="M16" s="26">
        <v>96</v>
      </c>
      <c r="N16" s="26">
        <v>3</v>
      </c>
      <c r="O16" s="26" t="s">
        <v>58</v>
      </c>
      <c r="P16" s="26" t="s">
        <v>148</v>
      </c>
      <c r="Q16" s="26">
        <v>45</v>
      </c>
      <c r="R16" s="26" t="s">
        <v>149</v>
      </c>
      <c r="S16" s="26" t="s">
        <v>150</v>
      </c>
      <c r="T16" s="68" t="s">
        <v>176</v>
      </c>
    </row>
    <row r="17" spans="2:21" x14ac:dyDescent="0.25">
      <c r="B17" s="23" t="s">
        <v>174</v>
      </c>
      <c r="C17" s="65">
        <v>42415</v>
      </c>
      <c r="D17" s="26">
        <v>27</v>
      </c>
      <c r="E17" s="26">
        <v>5</v>
      </c>
      <c r="F17" s="26" t="s">
        <v>111</v>
      </c>
      <c r="G17" s="26" t="s">
        <v>111</v>
      </c>
      <c r="H17" s="79">
        <v>9.4139999999999997</v>
      </c>
      <c r="I17" s="77">
        <f t="shared" si="4"/>
        <v>106.22477161674102</v>
      </c>
      <c r="J17" s="77">
        <f t="shared" si="1"/>
        <v>312.66867405210343</v>
      </c>
      <c r="K17" s="80">
        <v>283</v>
      </c>
      <c r="L17" s="80">
        <v>52</v>
      </c>
      <c r="M17" s="26">
        <v>96</v>
      </c>
      <c r="N17" s="26">
        <v>3</v>
      </c>
      <c r="O17" s="26" t="s">
        <v>58</v>
      </c>
      <c r="P17" s="26" t="s">
        <v>148</v>
      </c>
      <c r="Q17" s="26">
        <v>45</v>
      </c>
      <c r="R17" s="26" t="s">
        <v>149</v>
      </c>
      <c r="S17" s="26" t="s">
        <v>150</v>
      </c>
      <c r="T17" s="68" t="s">
        <v>181</v>
      </c>
    </row>
    <row r="18" spans="2:21" x14ac:dyDescent="0.25">
      <c r="B18" s="23" t="s">
        <v>177</v>
      </c>
      <c r="C18" s="65">
        <v>42415</v>
      </c>
      <c r="D18" s="26">
        <v>27</v>
      </c>
      <c r="E18" s="26">
        <v>5</v>
      </c>
      <c r="F18" s="26"/>
      <c r="G18" s="26" t="s">
        <v>111</v>
      </c>
      <c r="H18" s="79">
        <v>5.6890000000000001</v>
      </c>
      <c r="I18" s="77">
        <f t="shared" si="0"/>
        <v>175.77781683951486</v>
      </c>
      <c r="J18" s="77">
        <f t="shared" si="1"/>
        <v>392.55474913489513</v>
      </c>
      <c r="K18" s="80">
        <v>373</v>
      </c>
      <c r="L18" s="80"/>
      <c r="M18" s="26">
        <v>96</v>
      </c>
      <c r="N18" s="26">
        <v>2</v>
      </c>
      <c r="O18" s="26" t="s">
        <v>58</v>
      </c>
      <c r="P18" s="26" t="s">
        <v>179</v>
      </c>
      <c r="Q18" s="26">
        <v>28</v>
      </c>
      <c r="R18" s="26" t="s">
        <v>149</v>
      </c>
      <c r="S18" s="26" t="s">
        <v>178</v>
      </c>
      <c r="T18" s="68" t="s">
        <v>180</v>
      </c>
    </row>
    <row r="19" spans="2:21" x14ac:dyDescent="0.25">
      <c r="B19" s="23" t="s">
        <v>177</v>
      </c>
      <c r="C19" s="65">
        <v>42415</v>
      </c>
      <c r="D19" s="26">
        <v>27</v>
      </c>
      <c r="E19" s="26">
        <v>5</v>
      </c>
      <c r="F19" s="26"/>
      <c r="G19" s="26" t="s">
        <v>111</v>
      </c>
      <c r="H19" s="79">
        <v>7.0019999999999998</v>
      </c>
      <c r="I19" s="77">
        <f t="shared" si="0"/>
        <v>142.81633818908884</v>
      </c>
      <c r="J19" s="77">
        <f t="shared" si="1"/>
        <v>421.86528266493264</v>
      </c>
      <c r="K19" s="80">
        <v>282</v>
      </c>
      <c r="L19" s="80"/>
      <c r="M19" s="26">
        <v>96</v>
      </c>
      <c r="N19" s="26">
        <v>2</v>
      </c>
      <c r="O19" s="26" t="s">
        <v>58</v>
      </c>
      <c r="P19" s="26" t="s">
        <v>179</v>
      </c>
      <c r="Q19" s="26">
        <v>28</v>
      </c>
      <c r="R19" s="26" t="s">
        <v>149</v>
      </c>
      <c r="S19" s="26" t="s">
        <v>178</v>
      </c>
      <c r="T19" s="68" t="s">
        <v>181</v>
      </c>
    </row>
    <row r="20" spans="2:21" s="53" customFormat="1" x14ac:dyDescent="0.25">
      <c r="B20" s="99" t="s">
        <v>190</v>
      </c>
      <c r="C20" s="100">
        <v>42451</v>
      </c>
      <c r="D20" s="101">
        <v>30</v>
      </c>
      <c r="E20" s="101">
        <v>5</v>
      </c>
      <c r="F20" s="101" t="s">
        <v>58</v>
      </c>
      <c r="G20" s="101" t="s">
        <v>111</v>
      </c>
      <c r="H20" s="102">
        <v>9.1240000000000006</v>
      </c>
      <c r="I20" s="103">
        <f t="shared" ref="I20" si="5">1000/H20</f>
        <v>109.60105217010083</v>
      </c>
      <c r="J20" s="103">
        <f>833.333*I20/K20</f>
        <v>179.43845502567117</v>
      </c>
      <c r="K20" s="104">
        <v>509</v>
      </c>
      <c r="L20" s="104">
        <v>76</v>
      </c>
      <c r="M20" s="101">
        <v>96</v>
      </c>
      <c r="N20" s="101">
        <v>3</v>
      </c>
      <c r="O20" s="101" t="s">
        <v>58</v>
      </c>
      <c r="P20" s="101" t="s">
        <v>148</v>
      </c>
      <c r="Q20" s="101">
        <v>45</v>
      </c>
      <c r="R20" s="101" t="s">
        <v>149</v>
      </c>
      <c r="S20" s="101" t="s">
        <v>192</v>
      </c>
      <c r="T20" s="105" t="s">
        <v>197</v>
      </c>
      <c r="U20" s="132"/>
    </row>
    <row r="21" spans="2:21" s="53" customFormat="1" x14ac:dyDescent="0.25">
      <c r="B21" s="99" t="s">
        <v>190</v>
      </c>
      <c r="C21" s="100">
        <v>42455</v>
      </c>
      <c r="D21" s="101">
        <v>30</v>
      </c>
      <c r="E21" s="101">
        <v>5</v>
      </c>
      <c r="F21" s="101" t="s">
        <v>58</v>
      </c>
      <c r="G21" s="101" t="s">
        <v>111</v>
      </c>
      <c r="H21" s="102">
        <v>9.4049999999999994</v>
      </c>
      <c r="I21" s="103">
        <f t="shared" ref="I21" si="6">1000/H21</f>
        <v>106.32642211589581</v>
      </c>
      <c r="J21" s="103">
        <f>833.333*I21/K21</f>
        <v>179.36298850426274</v>
      </c>
      <c r="K21" s="104">
        <v>494</v>
      </c>
      <c r="L21" s="104">
        <v>76</v>
      </c>
      <c r="M21" s="101">
        <v>96</v>
      </c>
      <c r="N21" s="101">
        <v>3</v>
      </c>
      <c r="O21" s="101" t="s">
        <v>58</v>
      </c>
      <c r="P21" s="101" t="s">
        <v>148</v>
      </c>
      <c r="Q21" s="101">
        <v>45</v>
      </c>
      <c r="R21" s="101" t="s">
        <v>149</v>
      </c>
      <c r="S21" s="101" t="s">
        <v>192</v>
      </c>
      <c r="T21" s="105" t="s">
        <v>197</v>
      </c>
      <c r="U21" s="132"/>
    </row>
    <row r="22" spans="2:21" s="53" customFormat="1" x14ac:dyDescent="0.25">
      <c r="B22" s="99" t="s">
        <v>190</v>
      </c>
      <c r="C22" s="100">
        <v>42456</v>
      </c>
      <c r="D22" s="101">
        <v>30</v>
      </c>
      <c r="E22" s="101">
        <v>5</v>
      </c>
      <c r="F22" s="101" t="s">
        <v>58</v>
      </c>
      <c r="G22" s="101" t="s">
        <v>111</v>
      </c>
      <c r="H22" s="102">
        <v>9.3849999999999998</v>
      </c>
      <c r="I22" s="103">
        <f t="shared" ref="I22" si="7">1000/H22</f>
        <v>106.55301012253597</v>
      </c>
      <c r="J22" s="103">
        <f>833.333*I22/K22</f>
        <v>180.10981660130477</v>
      </c>
      <c r="K22" s="104">
        <v>493</v>
      </c>
      <c r="L22" s="104">
        <v>76</v>
      </c>
      <c r="M22" s="101">
        <v>96</v>
      </c>
      <c r="N22" s="101">
        <v>3</v>
      </c>
      <c r="O22" s="101" t="s">
        <v>58</v>
      </c>
      <c r="P22" s="101" t="s">
        <v>148</v>
      </c>
      <c r="Q22" s="101">
        <v>45</v>
      </c>
      <c r="R22" s="101" t="s">
        <v>149</v>
      </c>
      <c r="S22" s="101" t="s">
        <v>192</v>
      </c>
      <c r="T22" s="105" t="s">
        <v>315</v>
      </c>
      <c r="U22" s="132"/>
    </row>
    <row r="23" spans="2:21" s="53" customFormat="1" x14ac:dyDescent="0.25">
      <c r="B23" s="99" t="s">
        <v>190</v>
      </c>
      <c r="C23" s="100">
        <v>42465</v>
      </c>
      <c r="D23" s="101">
        <v>30</v>
      </c>
      <c r="E23" s="101">
        <v>5</v>
      </c>
      <c r="F23" s="101" t="s">
        <v>58</v>
      </c>
      <c r="G23" s="101" t="s">
        <v>111</v>
      </c>
      <c r="H23" s="102">
        <v>9.3789999999999996</v>
      </c>
      <c r="I23" s="103">
        <f t="shared" ref="I23" si="8">1000/H23</f>
        <v>106.62117496534812</v>
      </c>
      <c r="J23" s="103">
        <f>833.333*I23/K23</f>
        <v>191.07729805892137</v>
      </c>
      <c r="K23" s="104">
        <v>465</v>
      </c>
      <c r="L23" s="104">
        <v>76</v>
      </c>
      <c r="M23" s="101">
        <v>96</v>
      </c>
      <c r="N23" s="101">
        <v>3</v>
      </c>
      <c r="O23" s="101" t="s">
        <v>58</v>
      </c>
      <c r="P23" s="101" t="s">
        <v>148</v>
      </c>
      <c r="Q23" s="101">
        <v>45</v>
      </c>
      <c r="R23" s="101" t="s">
        <v>149</v>
      </c>
      <c r="S23" s="101" t="s">
        <v>192</v>
      </c>
      <c r="T23" s="105" t="s">
        <v>316</v>
      </c>
      <c r="U23" s="132"/>
    </row>
    <row r="24" spans="2:21" s="53" customFormat="1" x14ac:dyDescent="0.25">
      <c r="B24" s="99" t="s">
        <v>198</v>
      </c>
      <c r="C24" s="100">
        <v>42456</v>
      </c>
      <c r="D24" s="101">
        <v>30</v>
      </c>
      <c r="E24" s="101">
        <v>5</v>
      </c>
      <c r="F24" s="101" t="s">
        <v>189</v>
      </c>
      <c r="G24" s="101" t="s">
        <v>111</v>
      </c>
      <c r="H24" s="102">
        <v>5.64</v>
      </c>
      <c r="I24" s="103">
        <f>1000/H24</f>
        <v>177.3049645390071</v>
      </c>
      <c r="J24" s="103">
        <f>833*I24/K24</f>
        <v>340.31114161519105</v>
      </c>
      <c r="K24" s="104">
        <v>434</v>
      </c>
      <c r="L24" s="104"/>
      <c r="M24" s="101">
        <v>96</v>
      </c>
      <c r="N24" s="101">
        <v>3</v>
      </c>
      <c r="O24" s="101" t="s">
        <v>58</v>
      </c>
      <c r="P24" s="101" t="s">
        <v>179</v>
      </c>
      <c r="Q24" s="101">
        <v>28</v>
      </c>
      <c r="R24" s="101" t="s">
        <v>149</v>
      </c>
      <c r="S24" s="101" t="s">
        <v>192</v>
      </c>
      <c r="T24" s="105" t="s">
        <v>314</v>
      </c>
      <c r="U24" s="132"/>
    </row>
    <row r="25" spans="2:21" s="2" customFormat="1" x14ac:dyDescent="0.25">
      <c r="B25" s="45" t="s">
        <v>190</v>
      </c>
      <c r="C25" s="116">
        <v>42528</v>
      </c>
      <c r="D25" s="47">
        <v>30</v>
      </c>
      <c r="E25" s="117">
        <v>80</v>
      </c>
      <c r="F25" s="117" t="s">
        <v>58</v>
      </c>
      <c r="G25" s="117" t="s">
        <v>111</v>
      </c>
      <c r="H25" s="118">
        <f>1000/I25</f>
        <v>9.3457943925233646</v>
      </c>
      <c r="I25" s="122">
        <v>107</v>
      </c>
      <c r="J25" s="91">
        <f t="shared" ref="J25:J27" si="9">833*I25/K25</f>
        <v>177.55179282868525</v>
      </c>
      <c r="K25" s="121">
        <v>502</v>
      </c>
      <c r="L25" s="119">
        <v>76</v>
      </c>
      <c r="M25" s="47">
        <v>96</v>
      </c>
      <c r="N25" s="26">
        <v>1</v>
      </c>
      <c r="O25" s="47" t="s">
        <v>58</v>
      </c>
      <c r="P25" s="47" t="s">
        <v>148</v>
      </c>
      <c r="Q25" s="47">
        <v>45</v>
      </c>
      <c r="R25" s="47" t="s">
        <v>149</v>
      </c>
      <c r="S25" s="47" t="s">
        <v>192</v>
      </c>
      <c r="T25" s="120" t="s">
        <v>323</v>
      </c>
      <c r="U25" s="131" t="s">
        <v>324</v>
      </c>
    </row>
    <row r="26" spans="2:21" s="53" customFormat="1" x14ac:dyDescent="0.25">
      <c r="B26" s="99" t="s">
        <v>198</v>
      </c>
      <c r="C26" s="123">
        <v>42528</v>
      </c>
      <c r="D26" s="101">
        <v>30</v>
      </c>
      <c r="E26" s="124">
        <v>80</v>
      </c>
      <c r="F26" s="124" t="s">
        <v>58</v>
      </c>
      <c r="G26" s="124" t="s">
        <v>111</v>
      </c>
      <c r="H26" s="125">
        <f t="shared" ref="H26:H27" si="10">1000/I26</f>
        <v>5.4054054054054053</v>
      </c>
      <c r="I26" s="126">
        <v>185</v>
      </c>
      <c r="J26" s="103">
        <f t="shared" si="9"/>
        <v>313.22154471544718</v>
      </c>
      <c r="K26" s="127">
        <v>492</v>
      </c>
      <c r="L26" s="128"/>
      <c r="M26" s="101">
        <v>96</v>
      </c>
      <c r="N26" s="101">
        <v>1</v>
      </c>
      <c r="O26" s="101" t="s">
        <v>58</v>
      </c>
      <c r="P26" s="101" t="s">
        <v>179</v>
      </c>
      <c r="Q26" s="101">
        <v>28</v>
      </c>
      <c r="R26" s="101" t="s">
        <v>149</v>
      </c>
      <c r="S26" s="101" t="s">
        <v>192</v>
      </c>
      <c r="T26" s="129" t="s">
        <v>322</v>
      </c>
      <c r="U26" s="132" t="s">
        <v>324</v>
      </c>
    </row>
    <row r="27" spans="2:21" s="53" customFormat="1" x14ac:dyDescent="0.25">
      <c r="B27" s="99" t="s">
        <v>320</v>
      </c>
      <c r="C27" s="123">
        <v>42528</v>
      </c>
      <c r="D27" s="101">
        <v>30</v>
      </c>
      <c r="E27" s="124">
        <v>80</v>
      </c>
      <c r="F27" s="124" t="s">
        <v>189</v>
      </c>
      <c r="G27" s="124" t="s">
        <v>111</v>
      </c>
      <c r="H27" s="125">
        <f t="shared" si="10"/>
        <v>5.4054054054054053</v>
      </c>
      <c r="I27" s="126">
        <v>185</v>
      </c>
      <c r="J27" s="103">
        <f t="shared" si="9"/>
        <v>296.35576923076923</v>
      </c>
      <c r="K27" s="127">
        <v>520</v>
      </c>
      <c r="L27" s="128"/>
      <c r="M27" s="101">
        <v>96</v>
      </c>
      <c r="N27" s="101">
        <v>1</v>
      </c>
      <c r="O27" s="124"/>
      <c r="P27" s="101" t="s">
        <v>179</v>
      </c>
      <c r="Q27" s="101">
        <v>28</v>
      </c>
      <c r="R27" s="101" t="s">
        <v>149</v>
      </c>
      <c r="S27" s="101" t="s">
        <v>192</v>
      </c>
      <c r="T27" s="129" t="s">
        <v>321</v>
      </c>
      <c r="U27" s="133" t="s">
        <v>325</v>
      </c>
    </row>
    <row r="28" spans="2:21" ht="15.75" thickBot="1" x14ac:dyDescent="0.3">
      <c r="B28" s="28"/>
      <c r="C28" s="69"/>
      <c r="D28" s="31"/>
      <c r="E28" s="31"/>
      <c r="F28" s="31"/>
      <c r="G28" s="31"/>
      <c r="H28" s="81"/>
      <c r="I28" s="78"/>
      <c r="J28" s="78"/>
      <c r="K28" s="82"/>
      <c r="L28" s="82"/>
      <c r="M28" s="31"/>
      <c r="N28" s="31"/>
      <c r="O28" s="31"/>
      <c r="P28" s="31"/>
      <c r="Q28" s="31"/>
      <c r="R28" s="31"/>
      <c r="S28" s="31"/>
      <c r="T28" s="72"/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G23"/>
  <sheetViews>
    <sheetView zoomScale="85" zoomScaleNormal="85" workbookViewId="0">
      <selection activeCell="D10" sqref="D10"/>
    </sheetView>
  </sheetViews>
  <sheetFormatPr defaultRowHeight="15" x14ac:dyDescent="0.25"/>
  <cols>
    <col min="1" max="1" width="2.42578125" customWidth="1"/>
    <col min="2" max="2" width="23.42578125" customWidth="1"/>
    <col min="3" max="3" width="9.7109375" style="56" hidden="1" customWidth="1"/>
    <col min="4" max="4" width="6.140625" style="11" customWidth="1"/>
    <col min="5" max="5" width="8.140625" style="11" customWidth="1"/>
    <col min="6" max="6" width="4.85546875" style="11" hidden="1" customWidth="1"/>
    <col min="7" max="7" width="0" style="54" hidden="1" customWidth="1"/>
    <col min="8" max="8" width="6.140625" style="55" hidden="1" customWidth="1"/>
    <col min="9" max="9" width="6.7109375" style="54" hidden="1" customWidth="1"/>
    <col min="10" max="12" width="0" style="11" hidden="1" customWidth="1"/>
    <col min="13" max="13" width="10.7109375" style="11" hidden="1" customWidth="1"/>
    <col min="14" max="15" width="5.85546875" style="11" hidden="1" customWidth="1"/>
    <col min="16" max="16" width="0" style="11" hidden="1" customWidth="1"/>
    <col min="17" max="17" width="7.7109375" style="11" hidden="1" customWidth="1"/>
    <col min="18" max="18" width="0" style="11" hidden="1" customWidth="1"/>
    <col min="19" max="19" width="10.140625" style="11" hidden="1" customWidth="1"/>
    <col min="20" max="20" width="43.7109375" style="60" customWidth="1"/>
    <col min="21" max="21" width="1.5703125" customWidth="1"/>
    <col min="22" max="58" width="5.28515625" customWidth="1"/>
    <col min="59" max="59" width="6.28515625" customWidth="1"/>
  </cols>
  <sheetData>
    <row r="1" spans="2:59" ht="15.75" thickBot="1" x14ac:dyDescent="0.3">
      <c r="B1" s="2" t="s">
        <v>131</v>
      </c>
    </row>
    <row r="2" spans="2:59" ht="15.75" thickBot="1" x14ac:dyDescent="0.3">
      <c r="V2" s="113" t="s">
        <v>172</v>
      </c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  <c r="AX2" s="114"/>
      <c r="AY2" s="114"/>
      <c r="AZ2" s="114"/>
      <c r="BA2" s="114"/>
      <c r="BB2" s="114"/>
      <c r="BC2" s="114"/>
      <c r="BD2" s="114"/>
      <c r="BE2" s="114"/>
      <c r="BF2" s="114"/>
      <c r="BG2" s="115"/>
    </row>
    <row r="3" spans="2:59" s="12" customFormat="1" ht="32.25" customHeight="1" thickBot="1" x14ac:dyDescent="0.3">
      <c r="B3" s="7" t="s">
        <v>132</v>
      </c>
      <c r="C3" s="57" t="s">
        <v>147</v>
      </c>
      <c r="D3" s="8" t="s">
        <v>154</v>
      </c>
      <c r="E3" s="8" t="s">
        <v>143</v>
      </c>
      <c r="F3" s="8" t="s">
        <v>156</v>
      </c>
      <c r="G3" s="58" t="s">
        <v>134</v>
      </c>
      <c r="H3" s="59" t="s">
        <v>151</v>
      </c>
      <c r="I3" s="58" t="s">
        <v>158</v>
      </c>
      <c r="J3" s="8" t="s">
        <v>133</v>
      </c>
      <c r="K3" s="8" t="s">
        <v>136</v>
      </c>
      <c r="L3" s="8" t="s">
        <v>137</v>
      </c>
      <c r="M3" s="8" t="s">
        <v>138</v>
      </c>
      <c r="N3" s="8" t="s">
        <v>144</v>
      </c>
      <c r="O3" s="8" t="s">
        <v>152</v>
      </c>
      <c r="P3" s="8" t="s">
        <v>141</v>
      </c>
      <c r="Q3" s="8" t="s">
        <v>142</v>
      </c>
      <c r="R3" s="8" t="s">
        <v>139</v>
      </c>
      <c r="S3" s="8" t="s">
        <v>140</v>
      </c>
      <c r="T3" s="6" t="s">
        <v>103</v>
      </c>
      <c r="V3" s="73" t="s">
        <v>21</v>
      </c>
      <c r="W3" s="74" t="s">
        <v>23</v>
      </c>
      <c r="X3" s="74" t="s">
        <v>22</v>
      </c>
      <c r="Y3" s="74" t="s">
        <v>24</v>
      </c>
      <c r="Z3" s="74" t="s">
        <v>25</v>
      </c>
      <c r="AA3" s="74" t="s">
        <v>26</v>
      </c>
      <c r="AB3" s="74" t="s">
        <v>27</v>
      </c>
      <c r="AC3" s="74" t="s">
        <v>28</v>
      </c>
      <c r="AD3" s="74" t="s">
        <v>160</v>
      </c>
      <c r="AE3" s="74" t="s">
        <v>31</v>
      </c>
      <c r="AF3" s="74" t="s">
        <v>217</v>
      </c>
      <c r="AG3" s="74" t="s">
        <v>219</v>
      </c>
      <c r="AH3" s="74" t="s">
        <v>33</v>
      </c>
      <c r="AI3" s="74" t="s">
        <v>39</v>
      </c>
      <c r="AJ3" s="74" t="s">
        <v>34</v>
      </c>
      <c r="AK3" s="74" t="s">
        <v>19</v>
      </c>
      <c r="AL3" s="74" t="s">
        <v>30</v>
      </c>
      <c r="AM3" s="74" t="s">
        <v>38</v>
      </c>
      <c r="AN3" s="74" t="s">
        <v>20</v>
      </c>
      <c r="AO3" s="74" t="s">
        <v>32</v>
      </c>
      <c r="AP3" s="74" t="s">
        <v>35</v>
      </c>
      <c r="AQ3" s="74" t="s">
        <v>72</v>
      </c>
      <c r="AR3" s="74" t="s">
        <v>42</v>
      </c>
      <c r="AS3" s="74" t="s">
        <v>36</v>
      </c>
      <c r="AT3" s="74" t="s">
        <v>113</v>
      </c>
      <c r="AU3" s="74" t="s">
        <v>37</v>
      </c>
      <c r="AV3" s="74" t="s">
        <v>161</v>
      </c>
      <c r="AW3" s="74" t="s">
        <v>162</v>
      </c>
      <c r="AX3" s="74" t="s">
        <v>163</v>
      </c>
      <c r="AY3" s="74" t="s">
        <v>164</v>
      </c>
      <c r="AZ3" s="74" t="s">
        <v>165</v>
      </c>
      <c r="BA3" s="74" t="s">
        <v>166</v>
      </c>
      <c r="BB3" s="74" t="s">
        <v>167</v>
      </c>
      <c r="BC3" s="74" t="s">
        <v>168</v>
      </c>
      <c r="BD3" s="74" t="s">
        <v>169</v>
      </c>
      <c r="BE3" s="74" t="s">
        <v>170</v>
      </c>
      <c r="BF3" s="84" t="s">
        <v>184</v>
      </c>
      <c r="BG3" s="75" t="s">
        <v>171</v>
      </c>
    </row>
    <row r="4" spans="2:59" ht="9" customHeight="1" thickBot="1" x14ac:dyDescent="0.3"/>
    <row r="5" spans="2:59" x14ac:dyDescent="0.25">
      <c r="B5" s="18" t="s">
        <v>135</v>
      </c>
      <c r="C5" s="61">
        <v>42415</v>
      </c>
      <c r="D5" s="21">
        <v>4</v>
      </c>
      <c r="E5" s="21">
        <v>4</v>
      </c>
      <c r="F5" s="21" t="s">
        <v>58</v>
      </c>
      <c r="G5" s="62">
        <v>7.0469999999999997</v>
      </c>
      <c r="H5" s="63">
        <f>1000/G5</f>
        <v>141.90435646374345</v>
      </c>
      <c r="I5" s="62">
        <f>H5/J5</f>
        <v>1.0434143857628195</v>
      </c>
      <c r="J5" s="21">
        <v>136</v>
      </c>
      <c r="K5" s="21">
        <v>32</v>
      </c>
      <c r="L5" s="21">
        <v>96</v>
      </c>
      <c r="M5" s="21">
        <v>0</v>
      </c>
      <c r="N5" s="21" t="s">
        <v>58</v>
      </c>
      <c r="O5" s="21" t="s">
        <v>58</v>
      </c>
      <c r="P5" s="21" t="s">
        <v>148</v>
      </c>
      <c r="Q5" s="21">
        <v>45</v>
      </c>
      <c r="R5" s="21" t="s">
        <v>149</v>
      </c>
      <c r="S5" s="21" t="s">
        <v>150</v>
      </c>
      <c r="T5" s="64" t="s">
        <v>145</v>
      </c>
      <c r="V5" s="18"/>
      <c r="W5" s="19"/>
      <c r="X5" s="19"/>
      <c r="Y5" s="19"/>
      <c r="Z5" s="19"/>
      <c r="AA5" s="19"/>
      <c r="AB5" s="19"/>
      <c r="AC5" s="19"/>
      <c r="AD5" s="19">
        <v>1</v>
      </c>
      <c r="AE5" s="19">
        <v>1</v>
      </c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>
        <v>1</v>
      </c>
      <c r="AR5" s="19"/>
      <c r="AS5" s="19"/>
      <c r="AT5" s="19"/>
      <c r="AU5" s="19"/>
      <c r="AV5" s="19"/>
      <c r="AW5" s="19"/>
      <c r="AX5" s="19">
        <v>1</v>
      </c>
      <c r="AY5" s="19"/>
      <c r="AZ5" s="19"/>
      <c r="BA5" s="19"/>
      <c r="BB5" s="19"/>
      <c r="BC5" s="19"/>
      <c r="BD5" s="19"/>
      <c r="BE5" s="19"/>
      <c r="BF5" s="85"/>
      <c r="BG5" s="88">
        <f>SUM(V5:BF5)</f>
        <v>4</v>
      </c>
    </row>
    <row r="6" spans="2:59" x14ac:dyDescent="0.25">
      <c r="B6" s="23" t="s">
        <v>146</v>
      </c>
      <c r="C6" s="65">
        <v>42410</v>
      </c>
      <c r="D6" s="26">
        <v>4</v>
      </c>
      <c r="E6" s="26">
        <v>4</v>
      </c>
      <c r="F6" s="26" t="s">
        <v>58</v>
      </c>
      <c r="G6" s="66">
        <v>9.2119999999999997</v>
      </c>
      <c r="H6" s="67">
        <f>1000/G6</f>
        <v>108.55405992184107</v>
      </c>
      <c r="I6" s="66">
        <f t="shared" ref="I6:I7" si="0">H6/J6</f>
        <v>0.58996771696652761</v>
      </c>
      <c r="J6" s="26">
        <v>184</v>
      </c>
      <c r="K6" s="26">
        <v>56</v>
      </c>
      <c r="L6" s="26">
        <v>96</v>
      </c>
      <c r="M6" s="26">
        <v>0</v>
      </c>
      <c r="N6" s="26" t="s">
        <v>58</v>
      </c>
      <c r="O6" s="26" t="s">
        <v>58</v>
      </c>
      <c r="P6" s="26" t="s">
        <v>148</v>
      </c>
      <c r="Q6" s="26">
        <v>45</v>
      </c>
      <c r="R6" s="26" t="s">
        <v>149</v>
      </c>
      <c r="S6" s="26" t="s">
        <v>150</v>
      </c>
      <c r="T6" s="68" t="s">
        <v>159</v>
      </c>
      <c r="V6" s="23"/>
      <c r="W6" s="24"/>
      <c r="X6" s="24"/>
      <c r="Y6" s="24"/>
      <c r="Z6" s="24"/>
      <c r="AA6" s="24"/>
      <c r="AB6" s="24"/>
      <c r="AC6" s="24"/>
      <c r="AD6" s="24">
        <v>1</v>
      </c>
      <c r="AE6" s="24">
        <v>1</v>
      </c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>
        <v>1</v>
      </c>
      <c r="AR6" s="24"/>
      <c r="AS6" s="24"/>
      <c r="AT6" s="24"/>
      <c r="AU6" s="24"/>
      <c r="AV6" s="24"/>
      <c r="AW6" s="24"/>
      <c r="AX6" s="24">
        <v>1</v>
      </c>
      <c r="AY6" s="24"/>
      <c r="AZ6" s="24"/>
      <c r="BA6" s="24"/>
      <c r="BB6" s="24"/>
      <c r="BC6" s="24"/>
      <c r="BD6" s="24"/>
      <c r="BE6" s="24"/>
      <c r="BF6" s="86"/>
      <c r="BG6" s="89">
        <f t="shared" ref="BG6:BG23" si="1">SUM(V6:BF6)</f>
        <v>4</v>
      </c>
    </row>
    <row r="7" spans="2:59" x14ac:dyDescent="0.25">
      <c r="B7" s="23" t="s">
        <v>153</v>
      </c>
      <c r="C7" s="65">
        <v>42413</v>
      </c>
      <c r="D7" s="26">
        <v>25</v>
      </c>
      <c r="E7" s="26">
        <v>5</v>
      </c>
      <c r="F7" s="26" t="s">
        <v>111</v>
      </c>
      <c r="G7" s="66">
        <v>12.032</v>
      </c>
      <c r="H7" s="67">
        <f>1000/G7</f>
        <v>83.111702127659569</v>
      </c>
      <c r="I7" s="66">
        <f t="shared" si="0"/>
        <v>7.4273192249919184E-2</v>
      </c>
      <c r="J7" s="26">
        <v>1119</v>
      </c>
      <c r="K7" s="26">
        <v>264</v>
      </c>
      <c r="L7" s="26">
        <v>96</v>
      </c>
      <c r="M7" s="26">
        <v>3</v>
      </c>
      <c r="N7" s="26" t="s">
        <v>58</v>
      </c>
      <c r="O7" s="26" t="s">
        <v>155</v>
      </c>
      <c r="P7" s="26" t="s">
        <v>148</v>
      </c>
      <c r="Q7" s="26">
        <v>45</v>
      </c>
      <c r="R7" s="26" t="s">
        <v>149</v>
      </c>
      <c r="S7" s="26" t="s">
        <v>150</v>
      </c>
      <c r="T7" s="68" t="s">
        <v>157</v>
      </c>
      <c r="V7" s="23"/>
      <c r="W7" s="24"/>
      <c r="X7" s="24"/>
      <c r="Y7" s="24"/>
      <c r="Z7" s="24"/>
      <c r="AA7" s="24"/>
      <c r="AB7" s="24"/>
      <c r="AC7" s="24"/>
      <c r="AD7" s="24">
        <v>1</v>
      </c>
      <c r="AE7" s="24">
        <v>1</v>
      </c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>
        <v>1</v>
      </c>
      <c r="AR7" s="24"/>
      <c r="AS7" s="24"/>
      <c r="AT7" s="24"/>
      <c r="AU7" s="24"/>
      <c r="AV7" s="24"/>
      <c r="AW7" s="24"/>
      <c r="AX7" s="24">
        <v>1</v>
      </c>
      <c r="AY7" s="24"/>
      <c r="AZ7" s="24"/>
      <c r="BA7" s="24"/>
      <c r="BB7" s="24"/>
      <c r="BC7" s="24"/>
      <c r="BD7" s="24"/>
      <c r="BE7" s="24"/>
      <c r="BF7" s="86"/>
      <c r="BG7" s="89">
        <f t="shared" si="1"/>
        <v>4</v>
      </c>
    </row>
    <row r="8" spans="2:59" x14ac:dyDescent="0.25">
      <c r="B8" s="23" t="s">
        <v>190</v>
      </c>
      <c r="C8" s="65"/>
      <c r="D8" s="26">
        <v>4</v>
      </c>
      <c r="E8" s="26">
        <v>5</v>
      </c>
      <c r="F8" s="26"/>
      <c r="G8" s="66"/>
      <c r="H8" s="67"/>
      <c r="I8" s="66"/>
      <c r="J8" s="26"/>
      <c r="K8" s="26"/>
      <c r="L8" s="26"/>
      <c r="M8" s="26"/>
      <c r="N8" s="26"/>
      <c r="O8" s="26"/>
      <c r="P8" s="26"/>
      <c r="Q8" s="26"/>
      <c r="R8" s="26"/>
      <c r="S8" s="26"/>
      <c r="T8" s="68" t="s">
        <v>250</v>
      </c>
      <c r="V8" s="23"/>
      <c r="W8" s="24"/>
      <c r="X8" s="24"/>
      <c r="Y8" s="24"/>
      <c r="Z8" s="24"/>
      <c r="AA8" s="24"/>
      <c r="AB8" s="24"/>
      <c r="AC8" s="24"/>
      <c r="AD8" s="24">
        <v>1</v>
      </c>
      <c r="AE8" s="24">
        <v>1</v>
      </c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>
        <v>1</v>
      </c>
      <c r="AR8" s="24"/>
      <c r="AS8" s="24"/>
      <c r="AT8" s="24"/>
      <c r="AU8" s="24"/>
      <c r="AV8" s="24"/>
      <c r="AW8" s="24"/>
      <c r="AX8" s="24">
        <v>1</v>
      </c>
      <c r="AY8" s="24"/>
      <c r="AZ8" s="24"/>
      <c r="BA8" s="24"/>
      <c r="BB8" s="24"/>
      <c r="BC8" s="24"/>
      <c r="BD8" s="24"/>
      <c r="BE8" s="24"/>
      <c r="BF8" s="86"/>
      <c r="BG8" s="89">
        <f t="shared" si="1"/>
        <v>4</v>
      </c>
    </row>
    <row r="9" spans="2:59" x14ac:dyDescent="0.25">
      <c r="B9" s="23" t="s">
        <v>190</v>
      </c>
      <c r="C9" s="65"/>
      <c r="D9" s="26">
        <v>25</v>
      </c>
      <c r="E9" s="26">
        <v>80</v>
      </c>
      <c r="F9" s="26"/>
      <c r="G9" s="66"/>
      <c r="H9" s="67"/>
      <c r="I9" s="66"/>
      <c r="J9" s="26"/>
      <c r="K9" s="26"/>
      <c r="L9" s="26"/>
      <c r="M9" s="26"/>
      <c r="N9" s="26"/>
      <c r="O9" s="26"/>
      <c r="P9" s="26"/>
      <c r="Q9" s="26"/>
      <c r="R9" s="26"/>
      <c r="S9" s="26"/>
      <c r="T9" s="68" t="s">
        <v>319</v>
      </c>
      <c r="V9" s="23"/>
      <c r="W9" s="24"/>
      <c r="X9" s="24"/>
      <c r="Y9" s="24"/>
      <c r="Z9" s="24"/>
      <c r="AA9" s="24"/>
      <c r="AB9" s="24"/>
      <c r="AC9" s="24"/>
      <c r="AD9" s="24" t="s">
        <v>317</v>
      </c>
      <c r="AE9" s="24" t="s">
        <v>317</v>
      </c>
      <c r="AF9" s="24" t="s">
        <v>317</v>
      </c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 t="s">
        <v>317</v>
      </c>
      <c r="AR9" s="24" t="s">
        <v>317</v>
      </c>
      <c r="AS9" s="24"/>
      <c r="AT9" s="24"/>
      <c r="AU9" s="24" t="s">
        <v>318</v>
      </c>
      <c r="AV9" s="24"/>
      <c r="AW9" s="24"/>
      <c r="AX9" s="24" t="s">
        <v>317</v>
      </c>
      <c r="AY9" s="24"/>
      <c r="AZ9" s="24"/>
      <c r="BA9" s="24"/>
      <c r="BB9" s="24"/>
      <c r="BC9" s="24"/>
      <c r="BD9" s="24"/>
      <c r="BE9" s="24"/>
      <c r="BF9" s="86"/>
      <c r="BG9" s="89">
        <v>7</v>
      </c>
    </row>
    <row r="10" spans="2:59" x14ac:dyDescent="0.25">
      <c r="B10" s="23"/>
      <c r="C10" s="65"/>
      <c r="D10" s="26"/>
      <c r="E10" s="26"/>
      <c r="F10" s="26"/>
      <c r="G10" s="66"/>
      <c r="H10" s="67"/>
      <c r="I10" s="6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68"/>
      <c r="V10" s="23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86"/>
      <c r="BG10" s="89">
        <f t="shared" si="1"/>
        <v>0</v>
      </c>
    </row>
    <row r="11" spans="2:59" x14ac:dyDescent="0.25">
      <c r="B11" s="23"/>
      <c r="C11" s="65"/>
      <c r="D11" s="26"/>
      <c r="E11" s="26"/>
      <c r="F11" s="26"/>
      <c r="G11" s="66"/>
      <c r="H11" s="67"/>
      <c r="I11" s="6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68"/>
      <c r="V11" s="23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86"/>
      <c r="BG11" s="89">
        <f t="shared" si="1"/>
        <v>0</v>
      </c>
    </row>
    <row r="12" spans="2:59" x14ac:dyDescent="0.25">
      <c r="B12" s="23"/>
      <c r="C12" s="65"/>
      <c r="D12" s="26"/>
      <c r="E12" s="26"/>
      <c r="F12" s="26"/>
      <c r="G12" s="66"/>
      <c r="H12" s="67"/>
      <c r="I12" s="6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68"/>
      <c r="V12" s="23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86"/>
      <c r="BG12" s="89">
        <f t="shared" si="1"/>
        <v>0</v>
      </c>
    </row>
    <row r="13" spans="2:59" x14ac:dyDescent="0.25">
      <c r="B13" s="23"/>
      <c r="C13" s="65"/>
      <c r="D13" s="26"/>
      <c r="E13" s="26"/>
      <c r="F13" s="26"/>
      <c r="G13" s="66"/>
      <c r="H13" s="67"/>
      <c r="I13" s="6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68"/>
      <c r="V13" s="23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86"/>
      <c r="BG13" s="89">
        <f t="shared" si="1"/>
        <v>0</v>
      </c>
    </row>
    <row r="14" spans="2:59" x14ac:dyDescent="0.25">
      <c r="B14" s="23"/>
      <c r="C14" s="65"/>
      <c r="D14" s="26"/>
      <c r="E14" s="26"/>
      <c r="F14" s="26"/>
      <c r="G14" s="66"/>
      <c r="H14" s="67"/>
      <c r="I14" s="6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68"/>
      <c r="V14" s="23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86"/>
      <c r="BG14" s="89">
        <f t="shared" si="1"/>
        <v>0</v>
      </c>
    </row>
    <row r="15" spans="2:59" x14ac:dyDescent="0.25">
      <c r="B15" s="23"/>
      <c r="C15" s="65"/>
      <c r="D15" s="26"/>
      <c r="E15" s="26"/>
      <c r="F15" s="26"/>
      <c r="G15" s="66"/>
      <c r="H15" s="67"/>
      <c r="I15" s="6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68"/>
      <c r="V15" s="23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86"/>
      <c r="BG15" s="89">
        <f t="shared" si="1"/>
        <v>0</v>
      </c>
    </row>
    <row r="16" spans="2:59" x14ac:dyDescent="0.25">
      <c r="B16" s="23"/>
      <c r="C16" s="65"/>
      <c r="D16" s="26"/>
      <c r="E16" s="26"/>
      <c r="F16" s="26"/>
      <c r="G16" s="66"/>
      <c r="H16" s="67"/>
      <c r="I16" s="6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68"/>
      <c r="V16" s="23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86"/>
      <c r="BG16" s="89">
        <f t="shared" si="1"/>
        <v>0</v>
      </c>
    </row>
    <row r="17" spans="2:59" x14ac:dyDescent="0.25">
      <c r="B17" s="23"/>
      <c r="C17" s="65"/>
      <c r="D17" s="26"/>
      <c r="E17" s="26"/>
      <c r="F17" s="26"/>
      <c r="G17" s="66"/>
      <c r="H17" s="67"/>
      <c r="I17" s="6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68"/>
      <c r="V17" s="23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86"/>
      <c r="BG17" s="89">
        <f t="shared" si="1"/>
        <v>0</v>
      </c>
    </row>
    <row r="18" spans="2:59" x14ac:dyDescent="0.25">
      <c r="B18" s="23"/>
      <c r="C18" s="65"/>
      <c r="D18" s="26"/>
      <c r="E18" s="26"/>
      <c r="F18" s="26"/>
      <c r="G18" s="66"/>
      <c r="H18" s="67"/>
      <c r="I18" s="6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68"/>
      <c r="V18" s="23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86"/>
      <c r="BG18" s="89">
        <f t="shared" si="1"/>
        <v>0</v>
      </c>
    </row>
    <row r="19" spans="2:59" x14ac:dyDescent="0.25">
      <c r="B19" s="23"/>
      <c r="C19" s="65"/>
      <c r="D19" s="26"/>
      <c r="E19" s="26"/>
      <c r="F19" s="26"/>
      <c r="G19" s="66"/>
      <c r="H19" s="67"/>
      <c r="I19" s="6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68"/>
      <c r="V19" s="23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86"/>
      <c r="BG19" s="89">
        <f t="shared" si="1"/>
        <v>0</v>
      </c>
    </row>
    <row r="20" spans="2:59" x14ac:dyDescent="0.25">
      <c r="B20" s="23"/>
      <c r="C20" s="65"/>
      <c r="D20" s="26"/>
      <c r="E20" s="26"/>
      <c r="F20" s="26"/>
      <c r="G20" s="66"/>
      <c r="H20" s="67"/>
      <c r="I20" s="6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68"/>
      <c r="V20" s="23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86"/>
      <c r="BG20" s="89">
        <f t="shared" si="1"/>
        <v>0</v>
      </c>
    </row>
    <row r="21" spans="2:59" x14ac:dyDescent="0.25">
      <c r="B21" s="23"/>
      <c r="C21" s="65"/>
      <c r="D21" s="26"/>
      <c r="E21" s="26"/>
      <c r="F21" s="26"/>
      <c r="G21" s="66"/>
      <c r="H21" s="67"/>
      <c r="I21" s="6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68"/>
      <c r="V21" s="23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86"/>
      <c r="BG21" s="89">
        <f t="shared" si="1"/>
        <v>0</v>
      </c>
    </row>
    <row r="22" spans="2:59" x14ac:dyDescent="0.25">
      <c r="B22" s="23"/>
      <c r="C22" s="65"/>
      <c r="D22" s="26"/>
      <c r="E22" s="26"/>
      <c r="F22" s="26"/>
      <c r="G22" s="66"/>
      <c r="H22" s="67"/>
      <c r="I22" s="6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68"/>
      <c r="V22" s="23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86"/>
      <c r="BG22" s="89">
        <f t="shared" si="1"/>
        <v>0</v>
      </c>
    </row>
    <row r="23" spans="2:59" ht="15.75" thickBot="1" x14ac:dyDescent="0.3">
      <c r="B23" s="28"/>
      <c r="C23" s="69"/>
      <c r="D23" s="31"/>
      <c r="E23" s="31"/>
      <c r="F23" s="31"/>
      <c r="G23" s="70"/>
      <c r="H23" s="71"/>
      <c r="I23" s="70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72"/>
      <c r="V23" s="28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87"/>
      <c r="BG23" s="90">
        <f t="shared" si="1"/>
        <v>0</v>
      </c>
    </row>
  </sheetData>
  <mergeCells count="1">
    <mergeCell ref="V2:BG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instructions</vt:lpstr>
      <vt:lpstr>project_dir</vt:lpstr>
      <vt:lpstr>inst test coverage</vt:lpstr>
      <vt:lpstr>instructions!Print_Area</vt:lpstr>
    </vt:vector>
  </TitlesOfParts>
  <Company>Toshiba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Brakefield</dc:creator>
  <cp:lastModifiedBy>James Brakefield</cp:lastModifiedBy>
  <cp:lastPrinted>2016-02-05T18:10:35Z</cp:lastPrinted>
  <dcterms:created xsi:type="dcterms:W3CDTF">2016-02-05T16:40:27Z</dcterms:created>
  <dcterms:modified xsi:type="dcterms:W3CDTF">2016-06-09T03:40:48Z</dcterms:modified>
</cp:coreProperties>
</file>